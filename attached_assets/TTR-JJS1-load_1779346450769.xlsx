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han\OneDrive\Desktop\"/>
    </mc:Choice>
  </mc:AlternateContent>
  <xr:revisionPtr revIDLastSave="0" documentId="13_ncr:1_{FB88706C-0E24-43EF-9ED1-E9AD309771BE}" xr6:coauthVersionLast="47" xr6:coauthVersionMax="47" xr10:uidLastSave="{00000000-0000-0000-0000-000000000000}"/>
  <bookViews>
    <workbookView xWindow="-28920" yWindow="-120" windowWidth="29040" windowHeight="15720" xr2:uid="{230AC54A-02D0-4A53-B5E1-557598A351BD}"/>
  </bookViews>
  <sheets>
    <sheet name="CALCS" sheetId="1" r:id="rId1"/>
  </sheets>
  <definedNames>
    <definedName name="_xlnm.Print_Area" localSheetId="0">CALCS!$A$1:$AK$72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N71" i="1"/>
  <c r="AC69" i="1"/>
  <c r="S70" i="1"/>
  <c r="O69" i="1"/>
  <c r="P69" i="1"/>
  <c r="Q69" i="1"/>
  <c r="R69" i="1"/>
  <c r="S69" i="1"/>
  <c r="T69" i="1"/>
  <c r="U69" i="1"/>
  <c r="V69" i="1"/>
  <c r="W69" i="1"/>
  <c r="X69" i="1"/>
  <c r="Y69" i="1"/>
  <c r="Z69" i="1"/>
  <c r="AA69" i="1"/>
  <c r="AB69" i="1"/>
  <c r="N70" i="1"/>
  <c r="N69" i="1"/>
  <c r="O68" i="1"/>
  <c r="S68" i="1"/>
  <c r="AA68" i="1"/>
  <c r="AA70" i="1" s="1"/>
  <c r="N68" i="1"/>
  <c r="N29" i="1"/>
  <c r="N30" i="1"/>
  <c r="N31" i="1"/>
  <c r="N28" i="1"/>
  <c r="N25" i="1"/>
  <c r="N26" i="1"/>
  <c r="N27" i="1"/>
  <c r="N24" i="1"/>
  <c r="C13" i="1"/>
  <c r="D13" i="1" s="1"/>
  <c r="E13" i="1" s="1"/>
  <c r="F13" i="1" s="1"/>
  <c r="G13" i="1" s="1"/>
  <c r="H13" i="1" s="1"/>
  <c r="I13" i="1" s="1"/>
  <c r="J13" i="1" s="1"/>
  <c r="K13" i="1" s="1"/>
  <c r="L13" i="1" s="1"/>
  <c r="M13" i="1" s="1"/>
  <c r="N13" i="1" s="1"/>
  <c r="O13" i="1" s="1"/>
  <c r="P13" i="1" s="1"/>
  <c r="Q13" i="1" s="1"/>
  <c r="R13" i="1" s="1"/>
  <c r="S13" i="1" s="1"/>
  <c r="T13" i="1" s="1"/>
  <c r="U13" i="1" s="1"/>
  <c r="V13" i="1" s="1"/>
  <c r="W13" i="1" s="1"/>
  <c r="X13" i="1" s="1"/>
  <c r="Y13" i="1" s="1"/>
  <c r="Z13" i="1" s="1"/>
  <c r="AA13" i="1" s="1"/>
  <c r="AB13" i="1" s="1"/>
  <c r="C16" i="1"/>
  <c r="D16" i="1" s="1"/>
  <c r="E16" i="1" s="1"/>
  <c r="F16" i="1" s="1"/>
  <c r="G16" i="1" s="1"/>
  <c r="H16" i="1" s="1"/>
  <c r="I16" i="1" s="1"/>
  <c r="J16" i="1" s="1"/>
  <c r="K16" i="1" s="1"/>
  <c r="L16" i="1" s="1"/>
  <c r="M16" i="1" s="1"/>
  <c r="N16" i="1" s="1"/>
  <c r="O16" i="1" s="1"/>
  <c r="P16" i="1" s="1"/>
  <c r="Q16" i="1" s="1"/>
  <c r="R16" i="1" s="1"/>
  <c r="S16" i="1" s="1"/>
  <c r="T16" i="1" s="1"/>
  <c r="U16" i="1" s="1"/>
  <c r="V16" i="1" s="1"/>
  <c r="W16" i="1" s="1"/>
  <c r="X16" i="1" s="1"/>
  <c r="Y16" i="1" s="1"/>
  <c r="Z16" i="1" s="1"/>
  <c r="AA16" i="1" s="1"/>
  <c r="AB16" i="1" s="1"/>
  <c r="C3" i="1"/>
  <c r="D3" i="1" s="1"/>
  <c r="D66" i="1"/>
  <c r="E66" i="1"/>
  <c r="F66" i="1"/>
  <c r="G66" i="1"/>
  <c r="H66" i="1"/>
  <c r="I66" i="1"/>
  <c r="J66" i="1"/>
  <c r="K66" i="1"/>
  <c r="L66" i="1"/>
  <c r="M66" i="1"/>
  <c r="N66" i="1"/>
  <c r="O66" i="1"/>
  <c r="P66" i="1"/>
  <c r="P68" i="1" s="1"/>
  <c r="P70" i="1" s="1"/>
  <c r="Q66" i="1"/>
  <c r="Q68" i="1" s="1"/>
  <c r="Q70" i="1" s="1"/>
  <c r="R66" i="1"/>
  <c r="R68" i="1" s="1"/>
  <c r="R70" i="1" s="1"/>
  <c r="S66" i="1"/>
  <c r="T66" i="1"/>
  <c r="T68" i="1" s="1"/>
  <c r="T70" i="1" s="1"/>
  <c r="U66" i="1"/>
  <c r="U68" i="1" s="1"/>
  <c r="U70" i="1" s="1"/>
  <c r="V66" i="1"/>
  <c r="W66" i="1"/>
  <c r="X66" i="1"/>
  <c r="X68" i="1" s="1"/>
  <c r="X70" i="1" s="1"/>
  <c r="Y66" i="1"/>
  <c r="Y68" i="1" s="1"/>
  <c r="Y70" i="1" s="1"/>
  <c r="Z66" i="1"/>
  <c r="Z68" i="1" s="1"/>
  <c r="Z70" i="1" s="1"/>
  <c r="AA66" i="1"/>
  <c r="AB66" i="1"/>
  <c r="C66" i="1"/>
  <c r="AC43" i="1"/>
  <c r="AC44" i="1"/>
  <c r="AC39" i="1"/>
  <c r="O40" i="1"/>
  <c r="O41" i="1" s="1"/>
  <c r="P40" i="1"/>
  <c r="P41" i="1" s="1"/>
  <c r="Q40" i="1"/>
  <c r="Q41" i="1" s="1"/>
  <c r="R40" i="1"/>
  <c r="R41" i="1" s="1"/>
  <c r="S40" i="1"/>
  <c r="S42" i="1" s="1"/>
  <c r="T40" i="1"/>
  <c r="T42" i="1" s="1"/>
  <c r="U40" i="1"/>
  <c r="U42" i="1" s="1"/>
  <c r="V40" i="1"/>
  <c r="V42" i="1" s="1"/>
  <c r="W40" i="1"/>
  <c r="W42" i="1" s="1"/>
  <c r="X40" i="1"/>
  <c r="X42" i="1" s="1"/>
  <c r="Y40" i="1"/>
  <c r="Y41" i="1" s="1"/>
  <c r="Z40" i="1"/>
  <c r="Z41" i="1" s="1"/>
  <c r="AA40" i="1"/>
  <c r="AA41" i="1" s="1"/>
  <c r="AB40" i="1"/>
  <c r="AB41" i="1" s="1"/>
  <c r="N40" i="1"/>
  <c r="N41" i="1" s="1"/>
  <c r="P38" i="1"/>
  <c r="Q38" i="1"/>
  <c r="R38" i="1"/>
  <c r="S38" i="1"/>
  <c r="T38" i="1"/>
  <c r="U38" i="1"/>
  <c r="V38" i="1"/>
  <c r="W38" i="1"/>
  <c r="X38" i="1"/>
  <c r="Y38" i="1"/>
  <c r="Z38" i="1"/>
  <c r="AA38" i="1"/>
  <c r="AB38" i="1"/>
  <c r="O38" i="1"/>
  <c r="AC37" i="1"/>
  <c r="AI12" i="1"/>
  <c r="AK12" i="1" s="1"/>
  <c r="AI13" i="1"/>
  <c r="AK13" i="1" s="1"/>
  <c r="AI15" i="1"/>
  <c r="AK15" i="1" s="1"/>
  <c r="AI16" i="1"/>
  <c r="AK16" i="1" s="1"/>
  <c r="AH11" i="1"/>
  <c r="AI11" i="1" s="1"/>
  <c r="AK11" i="1" s="1"/>
  <c r="C11" i="1" s="1"/>
  <c r="D11" i="1" s="1"/>
  <c r="E11" i="1" s="1"/>
  <c r="F11" i="1" s="1"/>
  <c r="G11" i="1" s="1"/>
  <c r="AH10" i="1"/>
  <c r="AI10" i="1" s="1"/>
  <c r="AK10" i="1" s="1"/>
  <c r="C10" i="1" s="1"/>
  <c r="D10" i="1" s="1"/>
  <c r="E10" i="1" s="1"/>
  <c r="F10" i="1" s="1"/>
  <c r="G10" i="1" s="1"/>
  <c r="AH9" i="1"/>
  <c r="AI9" i="1" s="1"/>
  <c r="AK9" i="1" s="1"/>
  <c r="C9" i="1" s="1"/>
  <c r="AB68" i="1" l="1"/>
  <c r="AB70" i="1" s="1"/>
  <c r="F3" i="1"/>
  <c r="G3" i="1" s="1"/>
  <c r="H3" i="1" s="1"/>
  <c r="I3" i="1" s="1"/>
  <c r="J3" i="1" s="1"/>
  <c r="K3" i="1" s="1"/>
  <c r="L3" i="1" s="1"/>
  <c r="M3" i="1" s="1"/>
  <c r="O70" i="1"/>
  <c r="N32" i="1"/>
  <c r="N3" i="1"/>
  <c r="O3" i="1" s="1"/>
  <c r="AC66" i="1"/>
  <c r="C14" i="1"/>
  <c r="C17" i="1" s="1"/>
  <c r="H11" i="1"/>
  <c r="I11" i="1" s="1"/>
  <c r="J11" i="1" s="1"/>
  <c r="K11" i="1" s="1"/>
  <c r="L11" i="1" s="1"/>
  <c r="M11" i="1" s="1"/>
  <c r="N11" i="1" s="1"/>
  <c r="O11" i="1" s="1"/>
  <c r="P11" i="1" s="1"/>
  <c r="Q11" i="1" s="1"/>
  <c r="R11" i="1" s="1"/>
  <c r="S11" i="1" s="1"/>
  <c r="T11" i="1" s="1"/>
  <c r="U11" i="1" s="1"/>
  <c r="V11" i="1" s="1"/>
  <c r="W11" i="1" s="1"/>
  <c r="X11" i="1" s="1"/>
  <c r="Y11" i="1" s="1"/>
  <c r="Z11" i="1" s="1"/>
  <c r="AA11" i="1" s="1"/>
  <c r="AB11" i="1" s="1"/>
  <c r="D9" i="1"/>
  <c r="N42" i="1"/>
  <c r="N45" i="1" s="1"/>
  <c r="AA42" i="1"/>
  <c r="AA45" i="1" s="1"/>
  <c r="Z42" i="1"/>
  <c r="Z45" i="1" s="1"/>
  <c r="Y42" i="1"/>
  <c r="Y45" i="1" s="1"/>
  <c r="AB42" i="1"/>
  <c r="AB45" i="1" s="1"/>
  <c r="H10" i="1"/>
  <c r="I10" i="1" s="1"/>
  <c r="J10" i="1" s="1"/>
  <c r="K10" i="1" s="1"/>
  <c r="L10" i="1" s="1"/>
  <c r="M10" i="1" s="1"/>
  <c r="N10" i="1" s="1"/>
  <c r="O10" i="1" s="1"/>
  <c r="P10" i="1" s="1"/>
  <c r="Q10" i="1" s="1"/>
  <c r="R10" i="1" s="1"/>
  <c r="S10" i="1" s="1"/>
  <c r="T10" i="1" s="1"/>
  <c r="U10" i="1" s="1"/>
  <c r="V10" i="1" s="1"/>
  <c r="W10" i="1" s="1"/>
  <c r="X10" i="1" s="1"/>
  <c r="Y10" i="1" s="1"/>
  <c r="Z10" i="1" s="1"/>
  <c r="AA10" i="1" s="1"/>
  <c r="AB10" i="1" s="1"/>
  <c r="R42" i="1"/>
  <c r="R45" i="1" s="1"/>
  <c r="Q42" i="1"/>
  <c r="Q45" i="1" s="1"/>
  <c r="P42" i="1"/>
  <c r="P45" i="1" s="1"/>
  <c r="O42" i="1"/>
  <c r="O45" i="1" s="1"/>
  <c r="X41" i="1"/>
  <c r="X45" i="1" s="1"/>
  <c r="W41" i="1"/>
  <c r="W45" i="1" s="1"/>
  <c r="W68" i="1" s="1"/>
  <c r="W70" i="1" s="1"/>
  <c r="AC38" i="1"/>
  <c r="V41" i="1"/>
  <c r="V45" i="1" s="1"/>
  <c r="V68" i="1" s="1"/>
  <c r="U41" i="1"/>
  <c r="U45" i="1" s="1"/>
  <c r="T41" i="1"/>
  <c r="T45" i="1" s="1"/>
  <c r="AC40" i="1"/>
  <c r="S41" i="1"/>
  <c r="S45" i="1" s="1"/>
  <c r="V70" i="1" l="1"/>
  <c r="AC70" i="1" s="1"/>
  <c r="AC68" i="1"/>
  <c r="O71" i="1"/>
  <c r="P71" i="1" s="1"/>
  <c r="Q71" i="1" s="1"/>
  <c r="R71" i="1" s="1"/>
  <c r="S71" i="1" s="1"/>
  <c r="T71" i="1" s="1"/>
  <c r="U71" i="1" s="1"/>
  <c r="V71" i="1" s="1"/>
  <c r="W71" i="1" s="1"/>
  <c r="X71" i="1" s="1"/>
  <c r="Y71" i="1" s="1"/>
  <c r="Z71" i="1" s="1"/>
  <c r="AA71" i="1" s="1"/>
  <c r="AB71" i="1" s="1"/>
  <c r="O6" i="1"/>
  <c r="P3" i="1"/>
  <c r="Q3" i="1" s="1"/>
  <c r="R3" i="1" s="1"/>
  <c r="S3" i="1" s="1"/>
  <c r="T3" i="1" s="1"/>
  <c r="U3" i="1" s="1"/>
  <c r="V3" i="1" s="1"/>
  <c r="W3" i="1" s="1"/>
  <c r="X3" i="1" s="1"/>
  <c r="Y3" i="1" s="1"/>
  <c r="Z3" i="1" s="1"/>
  <c r="AA3" i="1" s="1"/>
  <c r="AC42" i="1"/>
  <c r="D14" i="1"/>
  <c r="D17" i="1" s="1"/>
  <c r="E9" i="1"/>
  <c r="AC41" i="1"/>
  <c r="AC45" i="1"/>
  <c r="F9" i="1" l="1"/>
  <c r="E14" i="1"/>
  <c r="E17" i="1" s="1"/>
  <c r="G9" i="1" l="1"/>
  <c r="F14" i="1"/>
  <c r="F17" i="1" s="1"/>
  <c r="H9" i="1" l="1"/>
  <c r="G14" i="1"/>
  <c r="G17" i="1" s="1"/>
  <c r="H14" i="1" l="1"/>
  <c r="H17" i="1" s="1"/>
  <c r="I9" i="1"/>
  <c r="J9" i="1" l="1"/>
  <c r="I14" i="1"/>
  <c r="I17" i="1" s="1"/>
  <c r="K9" i="1" l="1"/>
  <c r="J14" i="1"/>
  <c r="J17" i="1" s="1"/>
  <c r="L9" i="1" l="1"/>
  <c r="K14" i="1"/>
  <c r="K17" i="1" s="1"/>
  <c r="M9" i="1" l="1"/>
  <c r="L14" i="1"/>
  <c r="L17" i="1" s="1"/>
  <c r="M14" i="1" l="1"/>
  <c r="M17" i="1" s="1"/>
  <c r="N9" i="1"/>
  <c r="O9" i="1" l="1"/>
  <c r="N14" i="1"/>
  <c r="N17" i="1" s="1"/>
  <c r="N46" i="1" s="1"/>
  <c r="N47" i="1" l="1"/>
  <c r="P9" i="1"/>
  <c r="O14" i="1"/>
  <c r="O17" i="1" s="1"/>
  <c r="O46" i="1" s="1"/>
  <c r="Q9" i="1" l="1"/>
  <c r="P14" i="1"/>
  <c r="P17" i="1" s="1"/>
  <c r="P46" i="1" s="1"/>
  <c r="O47" i="1"/>
  <c r="P47" i="1" l="1"/>
  <c r="Q14" i="1"/>
  <c r="Q17" i="1" s="1"/>
  <c r="Q46" i="1" s="1"/>
  <c r="R9" i="1"/>
  <c r="S9" i="1" s="1"/>
  <c r="T9" i="1" l="1"/>
  <c r="S14" i="1"/>
  <c r="S17" i="1" s="1"/>
  <c r="S46" i="1" s="1"/>
  <c r="R14" i="1"/>
  <c r="R17" i="1" s="1"/>
  <c r="R46" i="1" s="1"/>
  <c r="Q47" i="1"/>
  <c r="T14" i="1" l="1"/>
  <c r="T17" i="1" s="1"/>
  <c r="T46" i="1" s="1"/>
  <c r="U9" i="1"/>
  <c r="R47" i="1"/>
  <c r="V9" i="1" l="1"/>
  <c r="U14" i="1"/>
  <c r="U17" i="1" s="1"/>
  <c r="U46" i="1" s="1"/>
  <c r="S47" i="1"/>
  <c r="W9" i="1" l="1"/>
  <c r="V14" i="1"/>
  <c r="V17" i="1" s="1"/>
  <c r="V46" i="1" s="1"/>
  <c r="T47" i="1"/>
  <c r="W14" i="1" l="1"/>
  <c r="W17" i="1" s="1"/>
  <c r="W46" i="1" s="1"/>
  <c r="X9" i="1"/>
  <c r="U47" i="1"/>
  <c r="Y9" i="1" l="1"/>
  <c r="X14" i="1"/>
  <c r="X17" i="1" s="1"/>
  <c r="X46" i="1" s="1"/>
  <c r="V47" i="1"/>
  <c r="Z9" i="1" l="1"/>
  <c r="Y14" i="1"/>
  <c r="Y17" i="1" s="1"/>
  <c r="Y46" i="1" s="1"/>
  <c r="W47" i="1"/>
  <c r="Z14" i="1" l="1"/>
  <c r="Z17" i="1" s="1"/>
  <c r="Z46" i="1" s="1"/>
  <c r="AA9" i="1"/>
  <c r="X47" i="1"/>
  <c r="AB9" i="1" l="1"/>
  <c r="AB14" i="1" s="1"/>
  <c r="AB17" i="1" s="1"/>
  <c r="AB46" i="1" s="1"/>
  <c r="AA14" i="1"/>
  <c r="AA17" i="1" s="1"/>
  <c r="AA46" i="1" s="1"/>
  <c r="Y47" i="1"/>
  <c r="Z47" i="1" l="1"/>
  <c r="AA47" i="1" l="1"/>
  <c r="AB47" i="1" l="1"/>
  <c r="AC47" i="1" s="1"/>
  <c r="AC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tc={0DCCB54E-50E5-4FAE-BB99-E4E019A76D7B}</author>
    <author>Johannes Snyman</author>
  </authors>
  <commentList>
    <comment ref="E3" authorId="0" shapeId="0" xr:uid="{0DCCB54E-50E5-4FAE-BB99-E4E019A76D7B}">
      <text>
        <t>[Threaded comment]
Your version of Excel allows you to read this threaded comment; however, any edits to it will get removed if the file is opened in a newer version of Excel. Learn more: https://go.microsoft.com/fwlink/?linkid=870924
Comment:
    SUPER today 701406, 13/05</t>
      </text>
    </comment>
    <comment ref="AC3" authorId="1" shapeId="0" xr:uid="{0709481D-BB5B-41E6-B8D4-D0A95D25B5AB}">
      <text>
        <r>
          <rPr>
            <b/>
            <sz val="9"/>
            <color indexed="81"/>
            <rFont val="Tahoma"/>
            <charset val="1"/>
          </rPr>
          <t xml:space="preserve">After 6 years of compound growth at an annual rate of 5%, a lump sum of 272,394 will grow to a final amount of 365,034.01.
</t>
        </r>
      </text>
    </comment>
    <comment ref="AC5" authorId="1" shapeId="0" xr:uid="{0F4D5297-5BDA-4D28-82F4-1B1FBB59252D}">
      <text>
        <r>
          <rPr>
            <b/>
            <sz val="9"/>
            <color indexed="81"/>
            <rFont val="Tahoma"/>
            <charset val="1"/>
          </rPr>
          <t>Johannes Snyman:</t>
        </r>
        <r>
          <rPr>
            <sz val="9"/>
            <color indexed="81"/>
            <rFont val="Tahoma"/>
            <charset val="1"/>
          </rPr>
          <t xml:space="preserve">
Based on a current superannuation balance of $386,286 and a 7-year time horizon, your superannuation could grow to approximately $530,000 to $630,000 in nominal terms, depending on whether you are in a balanced or growth investment option (assuming annual returns of 5% to 7% net of tax/fees). </t>
        </r>
      </text>
    </comment>
    <comment ref="B50" authorId="1" shapeId="0" xr:uid="{BDA9E722-E587-4746-BB65-7C521DB0E364}">
      <text>
        <r>
          <rPr>
            <b/>
            <sz val="9"/>
            <color indexed="81"/>
            <rFont val="Tahoma"/>
            <charset val="1"/>
          </rPr>
          <t>Johannes Snyman:</t>
        </r>
        <r>
          <rPr>
            <sz val="9"/>
            <color indexed="81"/>
            <rFont val="Tahoma"/>
            <charset val="1"/>
          </rPr>
          <t xml:space="preserve">
Yes, Starlink (direct from SpaceX) is generally much better than Telstra's Starlink offering in Australia for speed, but Telstra provides features like 4G backup and a home phone, albeit with capped speeds (around 50Mbps) compared to direct Starlink's potentially much faster speeds (100-400+Mbps), making direct Starlink better for high-demand users and Telstra better if bundled features and reliability via a familiar provider are prioritized in very remote areas. 
Key Differences:
Speed &amp; Performance: Direct Starlink offers significantly higher speeds (often 100Mbps+, sometimes hundreds) and lower latency than Telstra's version, which caps speeds at around 50Mbps. 
Features (Telstra): Telstra's plan includes a Smart Modem for 4G backup and a home phone service with Priority Assist options, which direct Starlink doesn't offer out-of-the-box. 
Cost: Telstra's monthly fee might be slightly lower, but you pay for the bundled features; direct Starlink has hardware costs but potentially better performance for the price. 
Support: Support for Telstra Starlink goes through Telstra; direct Starlink support comes from SpaceX. 
Who Should Choose Which?
Choose Direct Starlink if: Your priority is maximum speed, low latency for gaming/heavy streaming, portability (Roam plans), and you don't need Telstra's specific bundled features. 
Choose Telstra Starlink if: You need the familiarity of Telstra, want a home phone, need 4G backup for critical calls, and are satisfied with speeds around 50Mbps, especially in very remote areas where mobile coverage is poor. 
In Summary: For raw performance, go direct. For bundled reliability and local support in regional Australia, the Telstra partnership offers unique benefits, but at the cost of speed. </t>
        </r>
      </text>
    </comment>
    <comment ref="B51" authorId="1" shapeId="0" xr:uid="{AB76E3B1-1531-425E-B123-70186E9C7D85}">
      <text>
        <r>
          <rPr>
            <b/>
            <sz val="9"/>
            <color indexed="81"/>
            <rFont val="Tahoma"/>
            <charset val="1"/>
          </rPr>
          <t>Johannes Snyman:</t>
        </r>
        <r>
          <rPr>
            <sz val="9"/>
            <color indexed="81"/>
            <rFont val="Tahoma"/>
            <charset val="1"/>
          </rPr>
          <t xml:space="preserve">
For comprehensive coverage while traveling around Australia, Telstra is generally considered the best, while Boost Mobile offers the same network for better value. For high data usage, felix mobile ($40/mth) offers unlimited data, and for budget, Tangerine or ALDI (using Telstra Wholesale) are excellent options, with plans under $30. 
Top Phone Plans for Australia Travel
Best Overall Coverage (Telstra Network): Boost Mobile ($300/year for 290GB+). Boost is unique in that it offers access to the full Telstra network, essential for remote areas and "grey nomad" travel.
Best for Unlimited Data: felix mobile ($40/month, unlimited data capped at 20Mbps). Ideal for streaming on the road without worrying about data limits.
Best Budget Option (Telstra Network): Tangerine Telecom or ALDI Mobile. Tangerine uses Telstra Wholesale, providing good coverage at lower prices ($15–$30/month).
Best for Short Term/Tourists: Airalo (eSIM) for data-only, or felix for a 1-month renewable subscription with calls/text. 
Key Considerations
Coverage: Outside major cities, Telstra is far superior, with 99.7% population coverage.
Data Needs: If camping or relying on your phone for entertainment, look for 50GB+ per month or unlimited, such as the 120GB/35$ plan from amaysim.
eSIM: Most modern phones support eSIM, allowing you to activate a local plan instantly.
5G: Most providers now offer 5G in regional hubs, with brands like Tangerine providing up to 
 speeds. 
Always check for promotional, first-3-months-off deals from providers like Dodo or TPG for extra savings when switching. </t>
        </r>
      </text>
    </comment>
    <comment ref="B53" authorId="1" shapeId="0" xr:uid="{E12D2E0B-9F4B-4D80-9D41-E349B19677B7}">
      <text>
        <r>
          <rPr>
            <b/>
            <sz val="9"/>
            <color indexed="81"/>
            <rFont val="Tahoma"/>
            <charset val="1"/>
          </rPr>
          <t>Johannes Snyman:</t>
        </r>
        <r>
          <rPr>
            <sz val="9"/>
            <color indexed="81"/>
            <rFont val="Tahoma"/>
            <charset val="1"/>
          </rPr>
          <t xml:space="preserve">
Retiring at 60 is a common time to review private health insurance to ensure you have coverage for age-related needs, such as joint replacements or faster access to specialists, while managing costs. Bupa offers several options tailored for retirees, generally divided between "Comprehensive" cover and "Treatment and Care" (more affordable) options. 
Here are the best options for Bupa medical cover when retiring at 60, based on 2026 data:
1. The Best All-Rounder: Bupa Comprehensive
This is likely the best option for retirees who want peace of mind, as it covers both diagnosis (outpatient tests) and treatment (hospital). 
Key Benefit: Includes "Direct Access," allowing you to see specialists for cancer, mental health, or muscle/bone issues without a GP referral, speeding up diagnosis.
Coverage: Full cancer cover, hospital treatment, and outpatient care (scans, tests, consultations).
Suitability: Best for those prioritizing fast access to care and comprehensive diagnostic support. 
2. The Best for Cost Management: Treatment and Care
If you are comfortable using the NHS for initial diagnosis or already have a diagnosis, this plan covers private treatment, which can help skip long NHS waiting lists. 
Key Benefit: Lower premiums than Comprehensive, with high-quality hospital care.
Coverage: In-patient treatment, hospital accommodation, and cancer treatment.
Suitability: Good if you are retired and have a tighter budget but still want to avoid NHS waits for surgery. 
3. Key Features to Look for at 60
No Upper Age Limits: Bupa allows new members to join even in their 70s and 80s.
"Guided" Consultants List: Opting for "Guided Consultants" can reduce premiums by around 20% by using a curated list of specialists.
Mental Health Cover: Bupa includes mental health cover as standard in their Comprehensive policies. 
4. Tips for Reducing Premiums
Increase the Excess: A higher voluntary excess on your policy will significantly lower your monthly payments.
Review Hospital List: Ensure you have selected a hospital network (e.g., Essential Access) that fits your local needs without paying for extra, unnecessary coverage.
"Guided" Option: Using the Guided option with a reduced, curated list of consultants and hospitals. 
Summary Recommendation
If you have a pension and savings, Bupa Comprehensive is generally recommended for peace of mind, as it provides quick, direct access to diagnostics and cancer care, which are critical as you get older. 
Note: Bupa typically does not cover pre-existing conditions, though these may become covered if you are symptom-free for two years after joining. 
Important: It is crucial to review your policy regularly. As you reach 65+, your entitlements, such as the government rebate (if applicable in your region), may change. </t>
        </r>
      </text>
    </comment>
    <comment ref="B59" authorId="1" shapeId="0" xr:uid="{566C63A3-0018-4438-949E-FDAF71AF7CDC}">
      <text>
        <r>
          <rPr>
            <b/>
            <sz val="9"/>
            <color indexed="81"/>
            <rFont val="Tahoma"/>
            <charset val="1"/>
          </rPr>
          <t>Johannes Snyman:</t>
        </r>
        <r>
          <rPr>
            <sz val="9"/>
            <color indexed="81"/>
            <rFont val="Tahoma"/>
            <charset val="1"/>
          </rPr>
          <t xml:space="preserve">
For a Big Lap across Australia, the top roadside assistance providers for 2025-2026 are NRMA (Complete Care/Premium) and RAC WA (Ultimate Plus), offering nationwide coverage, 24/7 support, and extensive towing for cars and caravans. These plans provide the best protection against remote breakdowns, with coverage often extending to towing, accommodation, and rental cars if you are stranded far from home. 
Top Roadside Assistance for Big Laps 
NRMA Premium/Complete Care: Rated as top, providing extensive nationwide coverage and large towing allowances suitable for covering long distances, even in remote areas.
RAC WA Ultimate Plus: Ideal for extensive travel, offering 24/7 Australia-wide coverage with up to 300km free towing in country areas and options to cover caravans/trailers.
RACV Total Care (VIC): Highly recommended for long-distance travel with caravans, featuring 100km or to the nearest service centre (even if 500km away) towing.
Club 4x4 Roadside Assistance: Specifically designed for heavily modified 4WDs and touring, providing excellent Australia-wide, off-road coverage.
State Clubs (RACQ, RAA, AANT): All have reciprocal agreements, meaning you can join one and be covered by others when traveling interstate. 
Key Considerations for Big Lappers
Caravan/Trailer Coverage: Ensure the policy explicitly covers your caravan or trailer, as standard policies may not, or may have limited towing for them.
Remote Towing: Look for high remote/country towing limits (e.g., 200km+), as standard metropolitan towing distance is insufficient for the Outback.
Coverage Level: Choose "Premium" or "Ultimate" tiers for benefits like emergency accommodation ($1,000+), rental cars, and, in some cases, accommodation for pets.
Alternative Options: 24/7 Roadservices Australia is a cost-effective, non-membership, 24/7 Australia-wide alternative. 
Note: The best provider often depends on your home state for initial membership, but ensure the "Premium" or "National" option is selected for comprehensive coverage. </t>
        </r>
      </text>
    </comment>
    <comment ref="B60" authorId="1" shapeId="0" xr:uid="{3BF99C8F-8860-43E7-9780-EB03119BBE06}">
      <text>
        <r>
          <rPr>
            <b/>
            <sz val="9"/>
            <color indexed="81"/>
            <rFont val="Tahoma"/>
            <charset val="1"/>
          </rPr>
          <t>Johannes Snyman:</t>
        </r>
        <r>
          <rPr>
            <sz val="9"/>
            <color indexed="81"/>
            <rFont val="Tahoma"/>
            <charset val="1"/>
          </rPr>
          <t xml:space="preserve">
Finding the best landlord insurance for a house with a granny flat depends on whether the properties are on a single title (one address) or subdivided, and how they are rented. Specialist landlord insurance providers like EBM RentCover or QBE are generally recommended over standard home insurance, as they cover specific risks like tenant damage and rent default. 
Here is a breakdown of the best approaches and providers based on common scenarios:
Top Recommendations
Best Specialist Provider: EBM RentCover is highly recommended for tailored landlord insurance that covers risks associated with leasing granny flats.
Best for Comprehensive/All-in-One: QBE Landlord Insurance is often cited for its comprehensive, customizable policies, including options for short-term rentals.
Best for Popularity/Value: Budget Direct is noted as a popular and often cost-effective choice for landlord home &amp; contents, with strong coverage for tenant-related issues.
Best for Perks: Qantas Landlord Insurance offers competitive pricing and points, with similar coverage to major providers. 
Top Policy Considerations
When insuring a house + granny flat, look for these specific features:
Cover for Both Dwellings: If on one title, both the main house and the granny flat should be under one policy to avoid cross-over issues.
Tenant Damage &amp; Rent Default: Ensures coverage for damage caused by tenants, guests, and lost rent (e.g., if a tenant defaults or the property becomes uninhabitable).
Public Liability: High-limit liability cover (often up to $20 million) is crucial for injuries in the granny flat.
Legal Expenses: Coverage for eviction costs if necessary. 
Scenarios &amp; Choosing the Right Policy
If the Owner Lives in the Main House and Rents the Granny Flat: A standard home and contents policy is likely insufficient. You will need a specialist landlord policy that specifically covers the "part-rental" aspect.
If Both are Rented Out: A single landlord building policy can cover both structures, but it must be declared that it is a multi-dwelling property.
If Subdivided (Separate Titles): If the granny flat has its own address, it should generally have its own separate landlord insurance policy. 
Key Tips
Disclose Everything: Inform the insurer that a portion of the property is rented out. Renting out a space for income often voids standard home insurance.
Review the PDS: Ensure the policy covers, not just the structure (fire/storm), but also the specific tenant risks.
Bundle Policies: Check if you can bundle the main house and the granny flat under a "multi-dwelling" policy to save on costs. 
Disclaimer: Insurance needs can vary based on state regulations and individual circumstances. It is recommended to contact providers directly and check the Product Disclosure Statement (PDS) before committing to a policy. </t>
        </r>
      </text>
    </comment>
  </commentList>
</comments>
</file>

<file path=xl/sharedStrings.xml><?xml version="1.0" encoding="utf-8"?>
<sst xmlns="http://schemas.openxmlformats.org/spreadsheetml/2006/main" count="207" uniqueCount="139">
  <si>
    <t>Horizon</t>
  </si>
  <si>
    <t>Watercorp</t>
  </si>
  <si>
    <t>Council</t>
  </si>
  <si>
    <t>Maintenance</t>
  </si>
  <si>
    <t>July</t>
  </si>
  <si>
    <t>August</t>
  </si>
  <si>
    <t>September</t>
  </si>
  <si>
    <t>October</t>
  </si>
  <si>
    <t>November</t>
  </si>
  <si>
    <t>December</t>
  </si>
  <si>
    <t>January</t>
  </si>
  <si>
    <t>February</t>
  </si>
  <si>
    <t>March</t>
  </si>
  <si>
    <t>April</t>
  </si>
  <si>
    <t>May</t>
  </si>
  <si>
    <t>June</t>
  </si>
  <si>
    <t>Supply</t>
  </si>
  <si>
    <t>Usage</t>
  </si>
  <si>
    <t>CPI</t>
  </si>
  <si>
    <t>Rental Income</t>
  </si>
  <si>
    <t>Telstra</t>
  </si>
  <si>
    <t>Current Fixed Cost</t>
  </si>
  <si>
    <t>Current Income</t>
  </si>
  <si>
    <t>Tasmania</t>
  </si>
  <si>
    <t>Darwin</t>
  </si>
  <si>
    <t>GIBB</t>
  </si>
  <si>
    <t>Broome</t>
  </si>
  <si>
    <t>80Mile</t>
  </si>
  <si>
    <t>Exmouth</t>
  </si>
  <si>
    <t>Shark Bay</t>
  </si>
  <si>
    <t>Perth-Northam</t>
  </si>
  <si>
    <t>Ferry</t>
  </si>
  <si>
    <t>FOOD</t>
  </si>
  <si>
    <t>Travel distance @5l/km</t>
  </si>
  <si>
    <t>Alice to Adelaide</t>
  </si>
  <si>
    <t>Fuel cost - $3/l</t>
  </si>
  <si>
    <t>Days per month</t>
  </si>
  <si>
    <t>Accommodation @50/day AVG</t>
  </si>
  <si>
    <t>House income</t>
  </si>
  <si>
    <t>Service - UTE</t>
  </si>
  <si>
    <t>Tyres UTE + VAN</t>
  </si>
  <si>
    <t>Saving Rental</t>
  </si>
  <si>
    <t>Savings ZANDRA</t>
  </si>
  <si>
    <t>Starlink</t>
  </si>
  <si>
    <t>Telstra - Johan Mobile</t>
  </si>
  <si>
    <t>OPTUS - Zandra Mobile</t>
  </si>
  <si>
    <t>BUPA - Medies</t>
  </si>
  <si>
    <t>PILLE</t>
  </si>
  <si>
    <t>FIXED Monthly Cost</t>
  </si>
  <si>
    <t>Savings-Johan-COMMBANK</t>
  </si>
  <si>
    <t>Savings-Johan ING</t>
  </si>
  <si>
    <t>TAX liability - CGT</t>
  </si>
  <si>
    <t>WOONSTEL Elektries</t>
  </si>
  <si>
    <t>Bakkie Service</t>
  </si>
  <si>
    <t>Karavaan Service</t>
  </si>
  <si>
    <t>MUST DO</t>
  </si>
  <si>
    <t>Monthly FIXED COST - TO BE Reviewed/Reduced</t>
  </si>
  <si>
    <t>Kar Lisensie</t>
  </si>
  <si>
    <t>Karavaan Lisensie</t>
  </si>
  <si>
    <t>ROAD Side Assistance</t>
  </si>
  <si>
    <t>Karavaan versekering</t>
  </si>
  <si>
    <t>Kar versekering</t>
  </si>
  <si>
    <t>ALLIANZ Huis vereseking LANDLORD</t>
  </si>
  <si>
    <t>ALLIANZ - Woonstel versekering</t>
  </si>
  <si>
    <t>Landlord Insurance</t>
  </si>
  <si>
    <t>NO TRAVEL - NO SPEND - ALL CASH UP</t>
  </si>
  <si>
    <t>Super-SPA-Contribution</t>
  </si>
  <si>
    <t>SUPER-Life Insurance premium</t>
  </si>
  <si>
    <t>Settle Mortgage and Fund 1 Year</t>
  </si>
  <si>
    <t>D-12</t>
  </si>
  <si>
    <t>D-11</t>
  </si>
  <si>
    <t>D-10</t>
  </si>
  <si>
    <t>D-9</t>
  </si>
  <si>
    <t>D-8</t>
  </si>
  <si>
    <t>D-7</t>
  </si>
  <si>
    <t>D-6</t>
  </si>
  <si>
    <t>D-5</t>
  </si>
  <si>
    <t>D-2</t>
  </si>
  <si>
    <t>D-1</t>
  </si>
  <si>
    <t>D</t>
  </si>
  <si>
    <t>D+1</t>
  </si>
  <si>
    <t>D+2</t>
  </si>
  <si>
    <t>D+3</t>
  </si>
  <si>
    <t>D+4</t>
  </si>
  <si>
    <t>D+5</t>
  </si>
  <si>
    <t>D+6</t>
  </si>
  <si>
    <t>D+7</t>
  </si>
  <si>
    <t>D+8</t>
  </si>
  <si>
    <t>D+9</t>
  </si>
  <si>
    <t>D+10</t>
  </si>
  <si>
    <t>D+11</t>
  </si>
  <si>
    <t>D+12</t>
  </si>
  <si>
    <t>D+13</t>
  </si>
  <si>
    <t>TOTALS</t>
  </si>
  <si>
    <t>Descriptions</t>
  </si>
  <si>
    <t>SUPER FUNDED 1ST YEAR</t>
  </si>
  <si>
    <t>(@5%/annum</t>
  </si>
  <si>
    <t>INCOME STREAM - RENTAL 54 Westmacott-Apartment Preserved</t>
  </si>
  <si>
    <t>SUPER</t>
  </si>
  <si>
    <t>Aug</t>
  </si>
  <si>
    <t>Sept</t>
  </si>
  <si>
    <t>Nov</t>
  </si>
  <si>
    <t>Oct</t>
  </si>
  <si>
    <t>Dec</t>
  </si>
  <si>
    <t>Feb</t>
  </si>
  <si>
    <t>Jan</t>
  </si>
  <si>
    <t>Rental</t>
  </si>
  <si>
    <t>Super Calculltion</t>
  </si>
  <si>
    <t>After 6 years @5%</t>
  </si>
  <si>
    <t>After 6 years @7%</t>
  </si>
  <si>
    <t>After 1 years @5%</t>
  </si>
  <si>
    <t>Future Income Stream - P&amp;L calculation - Watre, Rates and Power must remina on our name to benefit from future CGT as a primary Residence-See currnet cost on RH side</t>
  </si>
  <si>
    <t>Rental Calculation - 17/02/2026</t>
  </si>
  <si>
    <t>Alliance</t>
  </si>
  <si>
    <t>Savings Plan - 12 Months</t>
  </si>
  <si>
    <t>TRAVEL - BIG LAP - The First year</t>
  </si>
  <si>
    <t>Super Lumpsum - funding for Year 1 - Brought form TOP on Super calculation</t>
  </si>
  <si>
    <t>ZANDRA ANZ Supersavr (PRESERVED)</t>
  </si>
  <si>
    <t>JOHAN SHARES</t>
  </si>
  <si>
    <t>JOE - Preserved</t>
  </si>
  <si>
    <t>TOTAL - BALANCE</t>
  </si>
  <si>
    <t>MUST have more than 12 MONTHS to reduce CGT - Emergency - Long term</t>
  </si>
  <si>
    <t>From SUPER 1st YEAR</t>
  </si>
  <si>
    <t>EMERGENCY FUND, Balance today 17/02/2026</t>
  </si>
  <si>
    <t>Forecasted COST - Assumption based ofor Cost of Living on the ROAD for YEAR 1</t>
  </si>
  <si>
    <t>funded-Brought down from the RENTAl income stream Calculation</t>
  </si>
  <si>
    <t>SHOPRTFALL 1 - What is required to cover basic travel cost calculation</t>
  </si>
  <si>
    <t>MONTHLY FIXED COST</t>
  </si>
  <si>
    <t>Average Monthly Cost-TRAVEL BASED</t>
  </si>
  <si>
    <t>Additional SAVINGS required-SHORTFALL 1</t>
  </si>
  <si>
    <t>Rental Income - After Expenses (no allaownace for TAX) - N46</t>
  </si>
  <si>
    <t>TOTAL COST PER MONTH - ON THE ROAD - Fixed COSt + Travel COST (N45 + N66)</t>
  </si>
  <si>
    <t>SHORTFALL PER MONTH</t>
  </si>
  <si>
    <t>SUPERFUNDED YEAR 1</t>
  </si>
  <si>
    <t>SAVING - Preservation and BUILT PHASE</t>
  </si>
  <si>
    <t>WEBSITES</t>
  </si>
  <si>
    <t>PAID</t>
  </si>
  <si>
    <t>Completed</t>
  </si>
  <si>
    <t>PAID it to JO - None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</si>
</sst>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42" formatCode="_-&quot;$&quot;* #,##0_-;\-&quot;$&quot;* #,##0_-;_-&quot;$&quot;* &quot;-&quot;_-;_-@_-"/>
    <numFmt numFmtId="44" formatCode="_-&quot;$&quot;* #,##0.00_-;\-&quot;$&quot;* #,##0.00_-;_-&quot;$&quot;* &quot;-&quot;??_-;_-@_-"/>
    <numFmt numFmtId="164" formatCode="d/mm/yyyy;@"/>
    <numFmt numFmtId="165" formatCode="&quot;$&quot;#,##0"/>
    <numFmt numFmtId="166" formatCode="&quot;$&quot;#,##0.00"/>
  </numFmts>
  <fonts count="12" x14ac:knownFonts="1">
    <font>
      <sz val="11"/>
      <color theme="1"/>
      <name val="Aptos Narrow"/>
      <family val="2"/>
      <scheme val="minor"/>
    </font>
    <font>
      <b/>
      <sz val="11"/>
      <color theme="1"/>
      <name val="Aptos Narrow"/>
      <family val="2"/>
      <scheme val="minor"/>
    </font>
    <font>
      <sz val="8"/>
      <name val="Aptos Narrow"/>
      <family val="2"/>
      <scheme val="minor"/>
    </font>
    <font>
      <sz val="11"/>
      <color rgb="FF0A0A0A"/>
      <name val="Courier New"/>
      <family val="3"/>
    </font>
    <font>
      <b/>
      <sz val="12"/>
      <color theme="1"/>
      <name val="Aptos Narrow"/>
      <family val="2"/>
      <scheme val="minor"/>
    </font>
    <font>
      <b/>
      <sz val="14"/>
      <color theme="1"/>
      <name val="Aptos Narrow"/>
      <family val="2"/>
      <scheme val="minor"/>
    </font>
    <font>
      <b/>
      <sz val="14"/>
      <color rgb="FFFF0000"/>
      <name val="Aptos Narrow"/>
      <family val="2"/>
      <scheme val="minor"/>
    </font>
    <font>
      <b/>
      <sz val="18"/>
      <color theme="1"/>
      <name val="Aptos Narrow"/>
      <family val="2"/>
      <scheme val="minor"/>
    </font>
    <font>
      <b/>
      <sz val="11"/>
      <color rgb="FFFF0000"/>
      <name val="Aptos Narrow"/>
      <family val="2"/>
      <scheme val="minor"/>
    </font>
    <font>
      <sz val="9"/>
      <color indexed="81"/>
      <name val="Tahoma"/>
      <charset val="1"/>
    </font>
    <font>
      <b/>
      <sz val="9"/>
      <color indexed="81"/>
      <name val="Tahoma"/>
      <charset val="1"/>
    </font>
    <font>
      <sz val="14"/>
      <color theme="1"/>
      <name val="Aptos Narrow"/>
      <family val="2"/>
      <scheme val="minor"/>
    </font>
  </fonts>
  <fills count="15">
    <fill>
      <patternFill patternType="none"/>
    </fill>
    <fill>
      <patternFill patternType="gray125"/>
    </fill>
    <fill>
      <patternFill patternType="solid">
        <fgColor theme="6" tint="0.79998168889431442"/>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style="double">
        <color auto="1"/>
      </right>
      <top style="double">
        <color auto="1"/>
      </top>
      <bottom/>
      <diagonal/>
    </border>
    <border>
      <left style="medium">
        <color indexed="64"/>
      </left>
      <right style="double">
        <color auto="1"/>
      </right>
      <top/>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double">
        <color rgb="FFFF0000"/>
      </right>
      <top style="medium">
        <color indexed="64"/>
      </top>
      <bottom style="medium">
        <color indexed="64"/>
      </bottom>
      <diagonal/>
    </border>
    <border>
      <left style="thin">
        <color indexed="64"/>
      </left>
      <right style="double">
        <color rgb="FFFF0000"/>
      </right>
      <top style="medium">
        <color indexed="64"/>
      </top>
      <bottom style="thin">
        <color indexed="64"/>
      </bottom>
      <diagonal/>
    </border>
    <border>
      <left style="thin">
        <color indexed="64"/>
      </left>
      <right style="double">
        <color rgb="FFFF0000"/>
      </right>
      <top style="thin">
        <color indexed="64"/>
      </top>
      <bottom style="thin">
        <color indexed="64"/>
      </bottom>
      <diagonal/>
    </border>
    <border>
      <left style="thin">
        <color indexed="64"/>
      </left>
      <right style="double">
        <color rgb="FFFF0000"/>
      </right>
      <top/>
      <bottom style="thin">
        <color indexed="64"/>
      </bottom>
      <diagonal/>
    </border>
    <border>
      <left style="thin">
        <color indexed="64"/>
      </left>
      <right style="double">
        <color rgb="FFFF0000"/>
      </right>
      <top style="thin">
        <color indexed="64"/>
      </top>
      <bottom/>
      <diagonal/>
    </border>
    <border>
      <left style="thin">
        <color indexed="64"/>
      </left>
      <right style="double">
        <color rgb="FFFF0000"/>
      </right>
      <top style="medium">
        <color indexed="64"/>
      </top>
      <bottom/>
      <diagonal/>
    </border>
    <border>
      <left/>
      <right style="double">
        <color rgb="FFFF0000"/>
      </right>
      <top/>
      <bottom/>
      <diagonal/>
    </border>
    <border>
      <left style="thin">
        <color indexed="64"/>
      </left>
      <right style="double">
        <color rgb="FFFF0000"/>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double">
        <color rgb="FFFFC000"/>
      </left>
      <right style="double">
        <color rgb="FFFFC000"/>
      </right>
      <top style="double">
        <color rgb="FFFFC000"/>
      </top>
      <bottom style="thin">
        <color indexed="64"/>
      </bottom>
      <diagonal/>
    </border>
    <border>
      <left style="double">
        <color rgb="FFFFC000"/>
      </left>
      <right style="double">
        <color rgb="FFFFC000"/>
      </right>
      <top style="thin">
        <color indexed="64"/>
      </top>
      <bottom style="thin">
        <color indexed="64"/>
      </bottom>
      <diagonal/>
    </border>
    <border>
      <left style="double">
        <color rgb="FFFFC000"/>
      </left>
      <right style="double">
        <color rgb="FFFFC000"/>
      </right>
      <top style="thin">
        <color indexed="64"/>
      </top>
      <bottom/>
      <diagonal/>
    </border>
    <border>
      <left/>
      <right/>
      <top style="medium">
        <color indexed="64"/>
      </top>
      <bottom style="medium">
        <color indexed="64"/>
      </bottom>
      <diagonal/>
    </border>
    <border>
      <left style="thin">
        <color indexed="64"/>
      </left>
      <right style="thin">
        <color indexed="64"/>
      </right>
      <top style="double">
        <color rgb="FFFFC000"/>
      </top>
      <bottom style="thin">
        <color indexed="64"/>
      </bottom>
      <diagonal/>
    </border>
    <border>
      <left style="double">
        <color rgb="FFFFC000"/>
      </left>
      <right style="thin">
        <color indexed="64"/>
      </right>
      <top style="thin">
        <color indexed="64"/>
      </top>
      <bottom style="thin">
        <color indexed="64"/>
      </bottom>
      <diagonal/>
    </border>
    <border>
      <left style="double">
        <color rgb="FFFFC000"/>
      </left>
      <right style="thin">
        <color indexed="64"/>
      </right>
      <top style="thin">
        <color indexed="64"/>
      </top>
      <bottom/>
      <diagonal/>
    </border>
    <border>
      <left style="double">
        <color rgb="FFFFC000"/>
      </left>
      <right/>
      <top style="double">
        <color rgb="FFFFC000"/>
      </top>
      <bottom style="thin">
        <color indexed="64"/>
      </bottom>
      <diagonal/>
    </border>
    <border>
      <left/>
      <right/>
      <top style="double">
        <color rgb="FFFFC000"/>
      </top>
      <bottom style="thin">
        <color indexed="64"/>
      </bottom>
      <diagonal/>
    </border>
    <border>
      <left/>
      <right style="thin">
        <color indexed="64"/>
      </right>
      <top style="double">
        <color rgb="FFFFC000"/>
      </top>
      <bottom style="thin">
        <color indexed="64"/>
      </bottom>
      <diagonal/>
    </border>
    <border>
      <left style="double">
        <color rgb="FFFF0000"/>
      </left>
      <right/>
      <top/>
      <bottom/>
      <diagonal/>
    </border>
    <border>
      <left/>
      <right style="thick">
        <color auto="1"/>
      </right>
      <top/>
      <bottom/>
      <diagonal/>
    </border>
    <border>
      <left style="double">
        <color rgb="FFFFC000"/>
      </left>
      <right style="thin">
        <color indexed="64"/>
      </right>
      <top style="medium">
        <color indexed="64"/>
      </top>
      <bottom/>
      <diagonal/>
    </border>
    <border>
      <left style="medium">
        <color indexed="64"/>
      </left>
      <right style="double">
        <color rgb="FFFF0000"/>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rgb="FFFF0000"/>
      </right>
      <top style="thin">
        <color indexed="64"/>
      </top>
      <bottom style="thin">
        <color indexed="64"/>
      </bottom>
      <diagonal/>
    </border>
    <border>
      <left/>
      <right style="double">
        <color rgb="FFFF0000"/>
      </right>
      <top style="thin">
        <color indexed="64"/>
      </top>
      <bottom style="medium">
        <color indexed="64"/>
      </bottom>
      <diagonal/>
    </border>
    <border>
      <left/>
      <right style="double">
        <color rgb="FFFF0000"/>
      </right>
      <top style="medium">
        <color indexed="64"/>
      </top>
      <bottom style="medium">
        <color indexed="64"/>
      </bottom>
      <diagonal/>
    </border>
    <border>
      <left style="medium">
        <color indexed="64"/>
      </left>
      <right/>
      <top style="medium">
        <color indexed="64"/>
      </top>
      <bottom style="thin">
        <color indexed="64"/>
      </bottom>
      <diagonal/>
    </border>
    <border>
      <left/>
      <right style="double">
        <color rgb="FFFF0000"/>
      </right>
      <top style="medium">
        <color indexed="64"/>
      </top>
      <bottom style="thin">
        <color indexed="64"/>
      </bottom>
      <diagonal/>
    </border>
    <border>
      <left style="thin">
        <color indexed="64"/>
      </left>
      <right style="medium">
        <color indexed="64"/>
      </right>
      <top style="double">
        <color rgb="FFFFC000"/>
      </top>
      <bottom style="thin">
        <color indexed="64"/>
      </bottom>
      <diagonal/>
    </border>
  </borders>
  <cellStyleXfs count="1">
    <xf numFmtId="0" fontId="0" fillId="0" borderId="0"/>
  </cellStyleXfs>
  <cellXfs count="264">
    <xf numFmtId="0" fontId="0" fillId="0" borderId="0" xfId="0"/>
    <xf numFmtId="0" fontId="0" fillId="0" borderId="1" xfId="0" applyBorder="1"/>
    <xf numFmtId="8" fontId="0" fillId="0" borderId="1" xfId="0" applyNumberFormat="1" applyBorder="1"/>
    <xf numFmtId="6" fontId="0" fillId="0" borderId="1" xfId="0" applyNumberFormat="1" applyBorder="1"/>
    <xf numFmtId="0" fontId="0" fillId="0" borderId="2" xfId="0" applyBorder="1"/>
    <xf numFmtId="0" fontId="0" fillId="0" borderId="3" xfId="0" applyBorder="1"/>
    <xf numFmtId="0" fontId="0" fillId="2" borderId="4" xfId="0" applyFill="1" applyBorder="1"/>
    <xf numFmtId="0" fontId="0" fillId="2" borderId="5" xfId="0" applyFill="1" applyBorder="1"/>
    <xf numFmtId="8" fontId="0" fillId="2" borderId="5" xfId="0" applyNumberFormat="1" applyFill="1" applyBorder="1"/>
    <xf numFmtId="10" fontId="0" fillId="2" borderId="5" xfId="0" applyNumberFormat="1" applyFill="1" applyBorder="1"/>
    <xf numFmtId="8" fontId="0" fillId="2" borderId="6" xfId="0" applyNumberFormat="1" applyFill="1" applyBorder="1"/>
    <xf numFmtId="6" fontId="0" fillId="0" borderId="2" xfId="0" applyNumberFormat="1" applyBorder="1"/>
    <xf numFmtId="165" fontId="0" fillId="0" borderId="1" xfId="0" applyNumberFormat="1" applyBorder="1"/>
    <xf numFmtId="0" fontId="0" fillId="7" borderId="1" xfId="0" applyFill="1" applyBorder="1"/>
    <xf numFmtId="165" fontId="0" fillId="7" borderId="1" xfId="0" applyNumberFormat="1" applyFill="1" applyBorder="1"/>
    <xf numFmtId="8" fontId="0" fillId="0" borderId="13" xfId="0" applyNumberFormat="1" applyBorder="1"/>
    <xf numFmtId="0" fontId="0" fillId="0" borderId="13" xfId="0" applyBorder="1"/>
    <xf numFmtId="10" fontId="0" fillId="0" borderId="13" xfId="0" applyNumberFormat="1" applyBorder="1"/>
    <xf numFmtId="8" fontId="0" fillId="0" borderId="12" xfId="0" applyNumberFormat="1" applyBorder="1"/>
    <xf numFmtId="0" fontId="0" fillId="9" borderId="1" xfId="0" applyFill="1" applyBorder="1"/>
    <xf numFmtId="8" fontId="0" fillId="9" borderId="1" xfId="0" applyNumberFormat="1" applyFill="1" applyBorder="1"/>
    <xf numFmtId="8" fontId="0" fillId="9" borderId="19" xfId="0" applyNumberFormat="1" applyFill="1" applyBorder="1"/>
    <xf numFmtId="0" fontId="0" fillId="9" borderId="21" xfId="0" applyFill="1" applyBorder="1"/>
    <xf numFmtId="8" fontId="0" fillId="9" borderId="21" xfId="0" applyNumberFormat="1" applyFill="1" applyBorder="1"/>
    <xf numFmtId="8" fontId="0" fillId="9" borderId="22" xfId="0" applyNumberFormat="1" applyFill="1" applyBorder="1"/>
    <xf numFmtId="0" fontId="1" fillId="10" borderId="8" xfId="0" applyFont="1" applyFill="1" applyBorder="1"/>
    <xf numFmtId="0" fontId="1" fillId="10" borderId="9" xfId="0" applyFont="1" applyFill="1" applyBorder="1"/>
    <xf numFmtId="0" fontId="1" fillId="10" borderId="10" xfId="0" applyFont="1" applyFill="1" applyBorder="1"/>
    <xf numFmtId="42" fontId="0" fillId="0" borderId="1" xfId="0" applyNumberFormat="1" applyBorder="1"/>
    <xf numFmtId="0" fontId="3" fillId="0" borderId="1" xfId="0" applyFont="1" applyBorder="1"/>
    <xf numFmtId="0" fontId="0" fillId="0" borderId="16" xfId="0" applyBorder="1"/>
    <xf numFmtId="0" fontId="0" fillId="0" borderId="17" xfId="0" applyBorder="1"/>
    <xf numFmtId="42" fontId="0" fillId="0" borderId="19" xfId="0" applyNumberFormat="1" applyBorder="1"/>
    <xf numFmtId="0" fontId="0" fillId="0" borderId="21" xfId="0" applyBorder="1"/>
    <xf numFmtId="165" fontId="0" fillId="0" borderId="21" xfId="0" applyNumberFormat="1" applyBorder="1"/>
    <xf numFmtId="42" fontId="0" fillId="6" borderId="22" xfId="0" applyNumberFormat="1" applyFill="1" applyBorder="1"/>
    <xf numFmtId="0" fontId="0" fillId="0" borderId="25" xfId="0" applyBorder="1"/>
    <xf numFmtId="0" fontId="0" fillId="0" borderId="26" xfId="0" applyBorder="1"/>
    <xf numFmtId="0" fontId="0" fillId="0" borderId="29" xfId="0" applyBorder="1"/>
    <xf numFmtId="0" fontId="1" fillId="10" borderId="11" xfId="0" applyFont="1" applyFill="1" applyBorder="1"/>
    <xf numFmtId="0" fontId="0" fillId="0" borderId="31" xfId="0" applyBorder="1"/>
    <xf numFmtId="0" fontId="0" fillId="0" borderId="32" xfId="0" applyBorder="1"/>
    <xf numFmtId="42" fontId="0" fillId="0" borderId="25" xfId="0" applyNumberFormat="1" applyBorder="1"/>
    <xf numFmtId="0" fontId="3" fillId="0" borderId="25" xfId="0" applyFont="1" applyBorder="1"/>
    <xf numFmtId="6" fontId="0" fillId="0" borderId="25" xfId="0" applyNumberFormat="1" applyBorder="1"/>
    <xf numFmtId="165" fontId="0" fillId="0" borderId="19" xfId="0" applyNumberFormat="1" applyBorder="1"/>
    <xf numFmtId="165" fontId="0" fillId="0" borderId="2" xfId="0" applyNumberFormat="1" applyBorder="1"/>
    <xf numFmtId="0" fontId="0" fillId="11" borderId="32" xfId="0" applyFill="1" applyBorder="1"/>
    <xf numFmtId="0" fontId="0" fillId="11" borderId="2" xfId="0" applyFill="1" applyBorder="1"/>
    <xf numFmtId="0" fontId="8" fillId="0" borderId="1" xfId="0" applyFont="1" applyBorder="1"/>
    <xf numFmtId="165" fontId="8" fillId="0" borderId="1" xfId="0" applyNumberFormat="1" applyFont="1" applyBorder="1"/>
    <xf numFmtId="165" fontId="0" fillId="0" borderId="29" xfId="0" applyNumberFormat="1" applyBorder="1"/>
    <xf numFmtId="165" fontId="8" fillId="0" borderId="29" xfId="0" applyNumberFormat="1" applyFont="1" applyBorder="1"/>
    <xf numFmtId="165" fontId="0" fillId="0" borderId="25" xfId="0" applyNumberFormat="1" applyBorder="1"/>
    <xf numFmtId="165" fontId="8" fillId="0" borderId="25" xfId="0" applyNumberFormat="1" applyFont="1" applyBorder="1"/>
    <xf numFmtId="0" fontId="0" fillId="0" borderId="18" xfId="0" applyBorder="1"/>
    <xf numFmtId="0" fontId="0" fillId="0" borderId="35" xfId="0" applyBorder="1"/>
    <xf numFmtId="8" fontId="0" fillId="0" borderId="40" xfId="0" applyNumberFormat="1" applyBorder="1"/>
    <xf numFmtId="8" fontId="0" fillId="0" borderId="35" xfId="0" applyNumberFormat="1" applyBorder="1"/>
    <xf numFmtId="6" fontId="0" fillId="0" borderId="18" xfId="0" applyNumberFormat="1" applyBorder="1"/>
    <xf numFmtId="0" fontId="0" fillId="0" borderId="36" xfId="0" applyBorder="1"/>
    <xf numFmtId="0" fontId="0" fillId="0" borderId="37" xfId="0" applyBorder="1"/>
    <xf numFmtId="165" fontId="0" fillId="12" borderId="1" xfId="0" applyNumberFormat="1" applyFill="1" applyBorder="1"/>
    <xf numFmtId="165" fontId="0" fillId="0" borderId="32" xfId="0" applyNumberFormat="1" applyBorder="1"/>
    <xf numFmtId="0" fontId="0" fillId="9" borderId="3" xfId="0" applyFill="1" applyBorder="1"/>
    <xf numFmtId="8" fontId="0" fillId="9" borderId="3" xfId="0" applyNumberFormat="1" applyFill="1" applyBorder="1"/>
    <xf numFmtId="8" fontId="0" fillId="9" borderId="39" xfId="0" applyNumberFormat="1" applyFill="1" applyBorder="1"/>
    <xf numFmtId="0" fontId="0" fillId="12" borderId="25" xfId="0" applyFill="1" applyBorder="1"/>
    <xf numFmtId="0" fontId="4" fillId="11" borderId="8" xfId="0" applyFont="1" applyFill="1" applyBorder="1" applyAlignment="1">
      <alignment horizontal="center" vertical="center"/>
    </xf>
    <xf numFmtId="0" fontId="4" fillId="11" borderId="9" xfId="0" applyFont="1" applyFill="1" applyBorder="1" applyAlignment="1">
      <alignment horizontal="center" vertical="center"/>
    </xf>
    <xf numFmtId="0" fontId="4" fillId="11" borderId="10" xfId="0" applyFont="1" applyFill="1" applyBorder="1" applyAlignment="1">
      <alignment horizontal="center" vertical="center"/>
    </xf>
    <xf numFmtId="165" fontId="0" fillId="0" borderId="16" xfId="0" applyNumberFormat="1" applyBorder="1"/>
    <xf numFmtId="165" fontId="0" fillId="0" borderId="28" xfId="0" applyNumberFormat="1" applyBorder="1"/>
    <xf numFmtId="165" fontId="0" fillId="3" borderId="31" xfId="0" applyNumberFormat="1" applyFill="1" applyBorder="1"/>
    <xf numFmtId="165" fontId="0" fillId="0" borderId="44" xfId="0" applyNumberFormat="1" applyBorder="1"/>
    <xf numFmtId="0" fontId="0" fillId="0" borderId="44" xfId="0" applyBorder="1"/>
    <xf numFmtId="165" fontId="0" fillId="0" borderId="0" xfId="0" applyNumberFormat="1"/>
    <xf numFmtId="0" fontId="5" fillId="3" borderId="5" xfId="0" applyFont="1" applyFill="1" applyBorder="1" applyAlignment="1">
      <alignment horizontal="center" vertical="center"/>
    </xf>
    <xf numFmtId="0" fontId="5" fillId="3" borderId="47" xfId="0" applyFont="1" applyFill="1" applyBorder="1" applyAlignment="1">
      <alignment horizontal="center" vertical="center"/>
    </xf>
    <xf numFmtId="0" fontId="5" fillId="3" borderId="48" xfId="0" applyFont="1" applyFill="1" applyBorder="1" applyAlignment="1">
      <alignment horizontal="center" vertical="center"/>
    </xf>
    <xf numFmtId="0" fontId="5" fillId="3" borderId="6" xfId="0" applyFont="1" applyFill="1" applyBorder="1" applyAlignment="1">
      <alignment horizontal="center" vertical="center"/>
    </xf>
    <xf numFmtId="165" fontId="0" fillId="0" borderId="49" xfId="0" applyNumberFormat="1" applyBorder="1"/>
    <xf numFmtId="165" fontId="0" fillId="0" borderId="50" xfId="0" applyNumberFormat="1" applyBorder="1"/>
    <xf numFmtId="165" fontId="8" fillId="0" borderId="50" xfId="0" applyNumberFormat="1" applyFont="1" applyBorder="1"/>
    <xf numFmtId="0" fontId="0" fillId="11" borderId="43" xfId="0" applyFill="1" applyBorder="1"/>
    <xf numFmtId="8" fontId="0" fillId="0" borderId="25" xfId="0" applyNumberFormat="1" applyBorder="1"/>
    <xf numFmtId="8" fontId="0" fillId="2" borderId="48" xfId="0" applyNumberFormat="1" applyFill="1" applyBorder="1"/>
    <xf numFmtId="0" fontId="0" fillId="0" borderId="43" xfId="0" applyBorder="1"/>
    <xf numFmtId="165" fontId="0" fillId="7" borderId="25" xfId="0" applyNumberFormat="1" applyFill="1" applyBorder="1"/>
    <xf numFmtId="0" fontId="1" fillId="11" borderId="11" xfId="0" applyFont="1" applyFill="1" applyBorder="1"/>
    <xf numFmtId="165" fontId="0" fillId="12" borderId="25" xfId="0" applyNumberFormat="1" applyFill="1" applyBorder="1"/>
    <xf numFmtId="165" fontId="0" fillId="0" borderId="26" xfId="0" applyNumberFormat="1" applyBorder="1"/>
    <xf numFmtId="0" fontId="5" fillId="3" borderId="51" xfId="0" applyFont="1" applyFill="1" applyBorder="1" applyAlignment="1">
      <alignment horizontal="center" vertical="center"/>
    </xf>
    <xf numFmtId="165" fontId="0" fillId="0" borderId="52" xfId="0" applyNumberFormat="1" applyBorder="1"/>
    <xf numFmtId="165" fontId="0" fillId="0" borderId="53" xfId="0" applyNumberFormat="1" applyBorder="1"/>
    <xf numFmtId="165" fontId="8" fillId="0" borderId="53" xfId="0" applyNumberFormat="1" applyFont="1" applyBorder="1"/>
    <xf numFmtId="0" fontId="0" fillId="11" borderId="54" xfId="0" applyFill="1" applyBorder="1"/>
    <xf numFmtId="8" fontId="0" fillId="0" borderId="53" xfId="0" applyNumberFormat="1" applyBorder="1"/>
    <xf numFmtId="0" fontId="0" fillId="0" borderId="53" xfId="0" applyBorder="1"/>
    <xf numFmtId="8" fontId="0" fillId="2" borderId="51" xfId="0" applyNumberFormat="1" applyFill="1" applyBorder="1"/>
    <xf numFmtId="0" fontId="0" fillId="0" borderId="54" xfId="0" applyBorder="1"/>
    <xf numFmtId="165" fontId="0" fillId="7" borderId="53" xfId="0" applyNumberFormat="1" applyFill="1" applyBorder="1"/>
    <xf numFmtId="0" fontId="1" fillId="11" borderId="56" xfId="0" applyFont="1" applyFill="1" applyBorder="1"/>
    <xf numFmtId="165" fontId="0" fillId="0" borderId="55" xfId="0" applyNumberFormat="1" applyBorder="1"/>
    <xf numFmtId="165" fontId="0" fillId="0" borderId="58" xfId="0" applyNumberFormat="1" applyBorder="1"/>
    <xf numFmtId="0" fontId="0" fillId="0" borderId="57" xfId="0" applyBorder="1"/>
    <xf numFmtId="0" fontId="5" fillId="3" borderId="59" xfId="0" applyFont="1" applyFill="1" applyBorder="1" applyAlignment="1">
      <alignment horizontal="center" vertical="center"/>
    </xf>
    <xf numFmtId="0" fontId="1" fillId="11" borderId="45" xfId="0" applyFont="1" applyFill="1" applyBorder="1"/>
    <xf numFmtId="0" fontId="0" fillId="11" borderId="49" xfId="0" applyFill="1" applyBorder="1"/>
    <xf numFmtId="42" fontId="0" fillId="11" borderId="50" xfId="0" applyNumberFormat="1" applyFill="1" applyBorder="1"/>
    <xf numFmtId="0" fontId="0" fillId="11" borderId="50" xfId="0" applyFill="1" applyBorder="1"/>
    <xf numFmtId="0" fontId="3" fillId="11" borderId="50" xfId="0" applyFont="1" applyFill="1" applyBorder="1"/>
    <xf numFmtId="6" fontId="0" fillId="11" borderId="50" xfId="0" applyNumberFormat="1" applyFill="1" applyBorder="1"/>
    <xf numFmtId="0" fontId="0" fillId="11" borderId="60" xfId="0" applyFill="1" applyBorder="1"/>
    <xf numFmtId="164" fontId="0" fillId="0" borderId="57" xfId="0" applyNumberFormat="1" applyBorder="1"/>
    <xf numFmtId="0" fontId="1" fillId="10" borderId="56" xfId="0" applyFont="1" applyFill="1" applyBorder="1"/>
    <xf numFmtId="165" fontId="0" fillId="12" borderId="53" xfId="0" applyNumberFormat="1" applyFill="1" applyBorder="1"/>
    <xf numFmtId="0" fontId="0" fillId="13" borderId="8" xfId="0" applyFill="1" applyBorder="1"/>
    <xf numFmtId="8" fontId="0" fillId="13" borderId="9" xfId="0" applyNumberFormat="1" applyFill="1" applyBorder="1"/>
    <xf numFmtId="8" fontId="0" fillId="13" borderId="56" xfId="0" applyNumberFormat="1" applyFill="1" applyBorder="1"/>
    <xf numFmtId="8" fontId="0" fillId="13" borderId="11" xfId="0" applyNumberFormat="1" applyFill="1" applyBorder="1"/>
    <xf numFmtId="0" fontId="4" fillId="11" borderId="27" xfId="0" applyFont="1" applyFill="1" applyBorder="1" applyAlignment="1">
      <alignment horizontal="center" vertical="center"/>
    </xf>
    <xf numFmtId="0" fontId="4" fillId="6" borderId="33" xfId="0" applyFont="1" applyFill="1" applyBorder="1" applyAlignment="1">
      <alignment horizontal="center" vertical="center"/>
    </xf>
    <xf numFmtId="165" fontId="0" fillId="14" borderId="61" xfId="0" applyNumberFormat="1" applyFill="1" applyBorder="1"/>
    <xf numFmtId="165" fontId="0" fillId="14" borderId="62" xfId="0" applyNumberFormat="1" applyFill="1" applyBorder="1"/>
    <xf numFmtId="165" fontId="8" fillId="14" borderId="62" xfId="0" applyNumberFormat="1" applyFont="1" applyFill="1" applyBorder="1"/>
    <xf numFmtId="0" fontId="4" fillId="11" borderId="14" xfId="0" applyFont="1" applyFill="1" applyBorder="1" applyAlignment="1">
      <alignment horizontal="center" vertical="center"/>
    </xf>
    <xf numFmtId="165" fontId="0" fillId="0" borderId="57" xfId="0" applyNumberFormat="1" applyBorder="1"/>
    <xf numFmtId="165" fontId="0" fillId="3" borderId="35" xfId="0" applyNumberFormat="1" applyFill="1" applyBorder="1"/>
    <xf numFmtId="166" fontId="0" fillId="14" borderId="63" xfId="0" applyNumberFormat="1" applyFill="1" applyBorder="1"/>
    <xf numFmtId="0" fontId="0" fillId="2" borderId="3" xfId="0" applyFill="1" applyBorder="1"/>
    <xf numFmtId="0" fontId="0" fillId="2" borderId="1" xfId="0" applyFill="1" applyBorder="1"/>
    <xf numFmtId="6" fontId="0" fillId="2" borderId="1" xfId="0" applyNumberFormat="1" applyFill="1" applyBorder="1"/>
    <xf numFmtId="8" fontId="0" fillId="2" borderId="1" xfId="0" applyNumberFormat="1" applyFill="1" applyBorder="1"/>
    <xf numFmtId="10" fontId="0" fillId="2" borderId="1" xfId="0" applyNumberFormat="1" applyFill="1" applyBorder="1"/>
    <xf numFmtId="8" fontId="0" fillId="2" borderId="19" xfId="0" applyNumberFormat="1" applyFill="1" applyBorder="1"/>
    <xf numFmtId="0" fontId="0" fillId="2" borderId="2" xfId="0" applyFill="1" applyBorder="1"/>
    <xf numFmtId="8" fontId="0" fillId="2" borderId="2" xfId="0" applyNumberFormat="1" applyFill="1" applyBorder="1"/>
    <xf numFmtId="10" fontId="0" fillId="2" borderId="2" xfId="0" applyNumberFormat="1" applyFill="1" applyBorder="1"/>
    <xf numFmtId="8" fontId="0" fillId="2" borderId="34" xfId="0" applyNumberFormat="1" applyFill="1" applyBorder="1"/>
    <xf numFmtId="14" fontId="0" fillId="2" borderId="3" xfId="0" applyNumberFormat="1" applyFill="1" applyBorder="1"/>
    <xf numFmtId="8" fontId="0" fillId="2" borderId="3" xfId="0" applyNumberFormat="1" applyFill="1" applyBorder="1"/>
    <xf numFmtId="10" fontId="0" fillId="2" borderId="3" xfId="0" applyNumberFormat="1" applyFill="1" applyBorder="1"/>
    <xf numFmtId="8" fontId="0" fillId="2" borderId="39" xfId="0" applyNumberFormat="1" applyFill="1" applyBorder="1"/>
    <xf numFmtId="0" fontId="0" fillId="2" borderId="9" xfId="0" applyFill="1" applyBorder="1"/>
    <xf numFmtId="8" fontId="0" fillId="2" borderId="9" xfId="0" applyNumberFormat="1" applyFill="1" applyBorder="1"/>
    <xf numFmtId="10" fontId="0" fillId="2" borderId="9" xfId="0" applyNumberFormat="1" applyFill="1" applyBorder="1"/>
    <xf numFmtId="8" fontId="0" fillId="2" borderId="10" xfId="0" applyNumberFormat="1" applyFill="1" applyBorder="1"/>
    <xf numFmtId="0" fontId="0" fillId="0" borderId="38" xfId="0" applyBorder="1"/>
    <xf numFmtId="0" fontId="0" fillId="0" borderId="30" xfId="0" applyBorder="1"/>
    <xf numFmtId="0" fontId="0" fillId="2" borderId="47" xfId="0" applyFill="1" applyBorder="1"/>
    <xf numFmtId="0" fontId="0" fillId="13" borderId="27" xfId="0" applyFill="1" applyBorder="1"/>
    <xf numFmtId="0" fontId="0" fillId="2" borderId="65" xfId="0" applyFill="1" applyBorder="1"/>
    <xf numFmtId="0" fontId="0" fillId="2" borderId="66" xfId="0" applyFill="1" applyBorder="1"/>
    <xf numFmtId="0" fontId="0" fillId="2" borderId="67" xfId="0" applyFill="1" applyBorder="1"/>
    <xf numFmtId="6" fontId="0" fillId="6" borderId="2" xfId="0" applyNumberFormat="1" applyFill="1" applyBorder="1"/>
    <xf numFmtId="6" fontId="0" fillId="2" borderId="5" xfId="0" applyNumberFormat="1" applyFill="1" applyBorder="1"/>
    <xf numFmtId="0" fontId="0" fillId="0" borderId="18" xfId="0" applyBorder="1" applyAlignment="1">
      <alignment wrapText="1"/>
    </xf>
    <xf numFmtId="0" fontId="0" fillId="7" borderId="2" xfId="0" applyFill="1" applyBorder="1"/>
    <xf numFmtId="165" fontId="0" fillId="7" borderId="2" xfId="0" applyNumberFormat="1" applyFill="1" applyBorder="1"/>
    <xf numFmtId="165" fontId="0" fillId="7" borderId="55" xfId="0" applyNumberFormat="1" applyFill="1" applyBorder="1"/>
    <xf numFmtId="165" fontId="0" fillId="7" borderId="32" xfId="0" applyNumberFormat="1" applyFill="1" applyBorder="1"/>
    <xf numFmtId="0" fontId="0" fillId="7" borderId="3" xfId="0" applyFill="1" applyBorder="1"/>
    <xf numFmtId="165" fontId="0" fillId="7" borderId="3" xfId="0" applyNumberFormat="1" applyFill="1" applyBorder="1"/>
    <xf numFmtId="165" fontId="0" fillId="7" borderId="54" xfId="0" applyNumberFormat="1" applyFill="1" applyBorder="1"/>
    <xf numFmtId="165" fontId="0" fillId="7" borderId="43" xfId="0" applyNumberFormat="1" applyFill="1" applyBorder="1"/>
    <xf numFmtId="8" fontId="0" fillId="2" borderId="53" xfId="0" applyNumberFormat="1" applyFill="1" applyBorder="1"/>
    <xf numFmtId="8" fontId="0" fillId="4" borderId="53" xfId="0" applyNumberFormat="1" applyFill="1" applyBorder="1"/>
    <xf numFmtId="165" fontId="0" fillId="0" borderId="12" xfId="0" applyNumberFormat="1" applyBorder="1"/>
    <xf numFmtId="165" fontId="0" fillId="0" borderId="13" xfId="0" applyNumberFormat="1" applyBorder="1"/>
    <xf numFmtId="42" fontId="4" fillId="4" borderId="59" xfId="0" applyNumberFormat="1" applyFont="1" applyFill="1" applyBorder="1"/>
    <xf numFmtId="42" fontId="4" fillId="4" borderId="48" xfId="0" applyNumberFormat="1" applyFont="1" applyFill="1" applyBorder="1"/>
    <xf numFmtId="42" fontId="4" fillId="4" borderId="5" xfId="0" applyNumberFormat="1" applyFont="1" applyFill="1" applyBorder="1"/>
    <xf numFmtId="0" fontId="0" fillId="0" borderId="72" xfId="0" applyBorder="1"/>
    <xf numFmtId="0" fontId="0" fillId="0" borderId="20" xfId="0" applyBorder="1"/>
    <xf numFmtId="42" fontId="4" fillId="4" borderId="47" xfId="0" applyNumberFormat="1" applyFont="1" applyFill="1" applyBorder="1"/>
    <xf numFmtId="8" fontId="1" fillId="2" borderId="55" xfId="0" applyNumberFormat="1" applyFont="1" applyFill="1" applyBorder="1"/>
    <xf numFmtId="8" fontId="0" fillId="0" borderId="54" xfId="0" applyNumberFormat="1" applyBorder="1"/>
    <xf numFmtId="0" fontId="0" fillId="2" borderId="73" xfId="0" applyFill="1" applyBorder="1"/>
    <xf numFmtId="165" fontId="4" fillId="6" borderId="59" xfId="0" applyNumberFormat="1" applyFont="1" applyFill="1" applyBorder="1"/>
    <xf numFmtId="165" fontId="4" fillId="6" borderId="48" xfId="0" applyNumberFormat="1" applyFont="1" applyFill="1" applyBorder="1"/>
    <xf numFmtId="165" fontId="4" fillId="6" borderId="5" xfId="0" applyNumberFormat="1" applyFont="1" applyFill="1" applyBorder="1"/>
    <xf numFmtId="42" fontId="0" fillId="0" borderId="55" xfId="0" applyNumberFormat="1" applyBorder="1"/>
    <xf numFmtId="8" fontId="4" fillId="4" borderId="74" xfId="0" applyNumberFormat="1" applyFont="1" applyFill="1" applyBorder="1"/>
    <xf numFmtId="165" fontId="4" fillId="4" borderId="57" xfId="0" applyNumberFormat="1" applyFont="1" applyFill="1" applyBorder="1"/>
    <xf numFmtId="165" fontId="4" fillId="6" borderId="51" xfId="0" applyNumberFormat="1" applyFont="1" applyFill="1" applyBorder="1"/>
    <xf numFmtId="0" fontId="0" fillId="0" borderId="75" xfId="0" applyBorder="1"/>
    <xf numFmtId="0" fontId="0" fillId="0" borderId="76" xfId="0" applyBorder="1"/>
    <xf numFmtId="0" fontId="4" fillId="4" borderId="46" xfId="0" applyFont="1" applyFill="1" applyBorder="1"/>
    <xf numFmtId="0" fontId="0" fillId="5" borderId="14" xfId="0" applyFill="1" applyBorder="1"/>
    <xf numFmtId="0" fontId="0" fillId="5" borderId="15" xfId="0" applyFill="1" applyBorder="1"/>
    <xf numFmtId="0" fontId="0" fillId="0" borderId="77" xfId="0" applyBorder="1"/>
    <xf numFmtId="0" fontId="3" fillId="0" borderId="77" xfId="0" applyFont="1" applyBorder="1"/>
    <xf numFmtId="6" fontId="0" fillId="0" borderId="77" xfId="0" applyNumberFormat="1" applyBorder="1"/>
    <xf numFmtId="44" fontId="0" fillId="0" borderId="78" xfId="0" applyNumberFormat="1" applyBorder="1"/>
    <xf numFmtId="42" fontId="4" fillId="4" borderId="79" xfId="0" applyNumberFormat="1" applyFont="1" applyFill="1" applyBorder="1"/>
    <xf numFmtId="165" fontId="4" fillId="6" borderId="79" xfId="0" applyNumberFormat="1" applyFont="1" applyFill="1" applyBorder="1"/>
    <xf numFmtId="0" fontId="0" fillId="0" borderId="80" xfId="0" applyBorder="1"/>
    <xf numFmtId="0" fontId="0" fillId="0" borderId="81" xfId="0" applyBorder="1"/>
    <xf numFmtId="0" fontId="0" fillId="0" borderId="45" xfId="0" applyBorder="1"/>
    <xf numFmtId="42" fontId="0" fillId="6" borderId="1" xfId="0" applyNumberFormat="1" applyFill="1" applyBorder="1"/>
    <xf numFmtId="42" fontId="0" fillId="0" borderId="3" xfId="0" applyNumberFormat="1" applyBorder="1"/>
    <xf numFmtId="42" fontId="0" fillId="6" borderId="3" xfId="0" applyNumberFormat="1" applyFill="1" applyBorder="1"/>
    <xf numFmtId="0" fontId="0" fillId="2" borderId="82" xfId="0" applyFill="1" applyBorder="1"/>
    <xf numFmtId="8" fontId="0" fillId="0" borderId="0" xfId="0" applyNumberFormat="1"/>
    <xf numFmtId="10" fontId="0" fillId="0" borderId="0" xfId="0" applyNumberFormat="1"/>
    <xf numFmtId="164" fontId="0" fillId="0" borderId="0" xfId="0" applyNumberFormat="1"/>
    <xf numFmtId="6" fontId="0" fillId="0" borderId="0" xfId="0" applyNumberFormat="1"/>
    <xf numFmtId="6" fontId="0" fillId="6" borderId="1" xfId="0" applyNumberFormat="1" applyFill="1" applyBorder="1"/>
    <xf numFmtId="165" fontId="0" fillId="5" borderId="16" xfId="0" applyNumberFormat="1" applyFill="1" applyBorder="1"/>
    <xf numFmtId="6" fontId="0" fillId="5" borderId="1" xfId="0" applyNumberFormat="1" applyFill="1" applyBorder="1"/>
    <xf numFmtId="0" fontId="0" fillId="0" borderId="7" xfId="0" applyBorder="1"/>
    <xf numFmtId="0" fontId="5" fillId="9" borderId="23" xfId="0" applyFont="1" applyFill="1" applyBorder="1" applyAlignment="1">
      <alignment horizontal="center" textRotation="90"/>
    </xf>
    <xf numFmtId="0" fontId="5" fillId="0" borderId="23" xfId="0" applyFont="1" applyBorder="1" applyAlignment="1">
      <alignment horizontal="center" textRotation="90"/>
    </xf>
    <xf numFmtId="0" fontId="5" fillId="0" borderId="24" xfId="0" applyFont="1" applyBorder="1" applyAlignment="1">
      <alignment horizontal="center" textRotation="90"/>
    </xf>
    <xf numFmtId="0" fontId="0" fillId="0" borderId="0" xfId="0"/>
    <xf numFmtId="165" fontId="0" fillId="7" borderId="1" xfId="0" applyNumberFormat="1" applyFill="1" applyBorder="1"/>
    <xf numFmtId="0" fontId="0" fillId="0" borderId="1" xfId="0" applyBorder="1"/>
    <xf numFmtId="0" fontId="6" fillId="8" borderId="18" xfId="0" applyFont="1" applyFill="1" applyBorder="1" applyAlignment="1">
      <alignment horizontal="center" vertical="center" textRotation="90" wrapText="1"/>
    </xf>
    <xf numFmtId="0" fontId="0" fillId="0" borderId="18" xfId="0" applyBorder="1" applyAlignment="1">
      <alignment vertical="center" wrapText="1"/>
    </xf>
    <xf numFmtId="165" fontId="0" fillId="2" borderId="30" xfId="0" applyNumberFormat="1" applyFill="1" applyBorder="1"/>
    <xf numFmtId="0" fontId="0" fillId="2" borderId="7" xfId="0" applyFill="1" applyBorder="1"/>
    <xf numFmtId="0" fontId="0" fillId="2" borderId="32" xfId="0" applyFill="1" applyBorder="1"/>
    <xf numFmtId="0" fontId="0" fillId="0" borderId="71" xfId="0" applyBorder="1"/>
    <xf numFmtId="0" fontId="5" fillId="3" borderId="46" xfId="0" applyFont="1" applyFill="1" applyBorder="1" applyAlignment="1">
      <alignment horizontal="center" vertical="center"/>
    </xf>
    <xf numFmtId="0" fontId="11" fillId="3" borderId="59" xfId="0" applyFont="1" applyFill="1" applyBorder="1" applyAlignment="1">
      <alignment horizontal="center" vertical="center"/>
    </xf>
    <xf numFmtId="0" fontId="4" fillId="3" borderId="46" xfId="0" applyFont="1" applyFill="1" applyBorder="1"/>
    <xf numFmtId="0" fontId="0" fillId="3" borderId="64" xfId="0" applyFill="1" applyBorder="1"/>
    <xf numFmtId="0" fontId="0" fillId="3" borderId="44" xfId="0" applyFill="1" applyBorder="1"/>
    <xf numFmtId="0" fontId="0" fillId="3" borderId="45" xfId="0" applyFill="1" applyBorder="1"/>
    <xf numFmtId="0" fontId="1" fillId="2" borderId="68" xfId="0" applyFont="1" applyFill="1" applyBorder="1"/>
    <xf numFmtId="0" fontId="1" fillId="0" borderId="69" xfId="0" applyFont="1" applyBorder="1"/>
    <xf numFmtId="0" fontId="1" fillId="0" borderId="70" xfId="0" applyFont="1" applyBorder="1"/>
    <xf numFmtId="0" fontId="0" fillId="3" borderId="59" xfId="0" applyFill="1" applyBorder="1"/>
    <xf numFmtId="8" fontId="7" fillId="11" borderId="18" xfId="0" applyNumberFormat="1" applyFont="1" applyFill="1" applyBorder="1" applyAlignment="1">
      <alignment horizontal="center" vertical="center" wrapText="1"/>
    </xf>
    <xf numFmtId="0" fontId="7" fillId="11" borderId="0" xfId="0" applyFont="1" applyFill="1" applyAlignment="1">
      <alignment horizontal="center" vertical="center" wrapText="1"/>
    </xf>
    <xf numFmtId="0" fontId="7" fillId="11" borderId="35" xfId="0" applyFont="1" applyFill="1" applyBorder="1" applyAlignment="1">
      <alignment horizontal="center" vertical="center" wrapText="1"/>
    </xf>
    <xf numFmtId="0" fontId="7" fillId="11" borderId="18" xfId="0" applyFont="1" applyFill="1" applyBorder="1" applyAlignment="1">
      <alignment horizontal="center" vertical="center" wrapText="1"/>
    </xf>
    <xf numFmtId="0" fontId="7" fillId="11" borderId="20" xfId="0" applyFont="1" applyFill="1" applyBorder="1" applyAlignment="1">
      <alignment horizontal="center" vertical="center" wrapText="1"/>
    </xf>
    <xf numFmtId="0" fontId="7" fillId="11" borderId="36" xfId="0" applyFont="1" applyFill="1" applyBorder="1" applyAlignment="1">
      <alignment horizontal="center" vertical="center" wrapText="1"/>
    </xf>
    <xf numFmtId="0" fontId="7" fillId="11" borderId="37" xfId="0" applyFont="1" applyFill="1" applyBorder="1" applyAlignment="1">
      <alignment horizontal="center" vertical="center" wrapText="1"/>
    </xf>
    <xf numFmtId="0" fontId="1" fillId="5" borderId="18" xfId="0" applyFont="1" applyFill="1" applyBorder="1" applyAlignment="1">
      <alignment horizontal="center" vertical="center" textRotation="90" wrapText="1"/>
    </xf>
    <xf numFmtId="0" fontId="5" fillId="9" borderId="8" xfId="0" applyFont="1" applyFill="1" applyBorder="1" applyAlignment="1">
      <alignment horizontal="center" textRotation="90"/>
    </xf>
    <xf numFmtId="0" fontId="5" fillId="11" borderId="46" xfId="0" applyFont="1" applyFill="1" applyBorder="1" applyAlignment="1">
      <alignment horizontal="center" vertical="center"/>
    </xf>
    <xf numFmtId="0" fontId="11" fillId="0" borderId="59" xfId="0" applyFont="1" applyBorder="1" applyAlignment="1">
      <alignment horizontal="center" vertical="center"/>
    </xf>
    <xf numFmtId="0" fontId="4" fillId="11" borderId="9" xfId="0" applyFont="1" applyFill="1" applyBorder="1" applyAlignment="1">
      <alignment horizontal="center" vertical="center" wrapText="1"/>
    </xf>
    <xf numFmtId="0" fontId="0" fillId="7" borderId="0" xfId="0" applyFill="1"/>
    <xf numFmtId="0" fontId="0" fillId="0" borderId="36" xfId="0" applyBorder="1"/>
    <xf numFmtId="0" fontId="0" fillId="4" borderId="64" xfId="0" applyFill="1" applyBorder="1"/>
    <xf numFmtId="0" fontId="0" fillId="0" borderId="64" xfId="0" applyBorder="1"/>
    <xf numFmtId="0" fontId="0" fillId="0" borderId="59" xfId="0" applyBorder="1"/>
    <xf numFmtId="0" fontId="0" fillId="3" borderId="36" xfId="0" applyFill="1" applyBorder="1"/>
    <xf numFmtId="0" fontId="0" fillId="0" borderId="15" xfId="0" applyBorder="1"/>
    <xf numFmtId="0" fontId="0" fillId="0" borderId="44" xfId="0" applyBorder="1"/>
    <xf numFmtId="0" fontId="0" fillId="0" borderId="45" xfId="0" applyBorder="1"/>
    <xf numFmtId="0" fontId="0" fillId="0" borderId="18" xfId="0" applyBorder="1"/>
    <xf numFmtId="0" fontId="0" fillId="0" borderId="35" xfId="0" applyBorder="1"/>
    <xf numFmtId="0" fontId="0" fillId="0" borderId="20" xfId="0" applyBorder="1"/>
    <xf numFmtId="0" fontId="0" fillId="0" borderId="37" xfId="0" applyBorder="1"/>
    <xf numFmtId="0" fontId="0" fillId="0" borderId="1" xfId="0" applyBorder="1" applyAlignment="1">
      <alignment horizontal="right"/>
    </xf>
    <xf numFmtId="0" fontId="0" fillId="0" borderId="21" xfId="0" applyBorder="1" applyAlignment="1">
      <alignment horizontal="right"/>
    </xf>
    <xf numFmtId="0" fontId="5" fillId="6" borderId="41" xfId="0" applyFont="1" applyFill="1" applyBorder="1" applyAlignment="1">
      <alignment horizontal="center" vertical="center" textRotation="90" wrapText="1"/>
    </xf>
    <xf numFmtId="0" fontId="0" fillId="0" borderId="42" xfId="0" applyBorder="1" applyAlignment="1">
      <alignment horizontal="center" vertical="center" textRotation="90" wrapText="1"/>
    </xf>
    <xf numFmtId="0" fontId="0" fillId="0" borderId="3"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ohan Snyman" id="{84B8A7CE-93F2-45F8-A40B-041D1FE552E7}" userId="761417930380494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 dT="2026-05-13T02:44:08.39" personId="{84B8A7CE-93F2-45F8-A40B-041D1FE552E7}" id="{0DCCB54E-50E5-4FAE-BB99-E4E019A76D7B}">
    <text>SUPER today 701406, 13/05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C819-E936-4A0B-B889-DC451C3317CE}">
  <sheetPr>
    <pageSetUpPr fitToPage="1"/>
  </sheetPr>
  <dimension ref="A1:AK594"/>
  <sheetViews>
    <sheetView tabSelected="1" zoomScale="84" zoomScaleNormal="84" workbookViewId="0">
      <selection activeCell="X74" sqref="X74"/>
    </sheetView>
  </sheetViews>
  <sheetFormatPr defaultRowHeight="15" x14ac:dyDescent="0.25"/>
  <cols>
    <col min="2" max="2" width="36.5703125" customWidth="1"/>
    <col min="3" max="3" width="20.5703125" customWidth="1"/>
    <col min="4" max="4" width="9" customWidth="1"/>
    <col min="5" max="8" width="9.140625" bestFit="1" customWidth="1"/>
    <col min="9" max="9" width="10.28515625" bestFit="1" customWidth="1"/>
    <col min="10" max="10" width="9.140625" bestFit="1" customWidth="1"/>
    <col min="11" max="11" width="10" style="105" bestFit="1" customWidth="1"/>
    <col min="12" max="12" width="9.85546875" bestFit="1" customWidth="1"/>
    <col min="13" max="13" width="9.140625" bestFit="1" customWidth="1"/>
    <col min="14" max="14" width="15.28515625" style="105" customWidth="1"/>
    <col min="15" max="15" width="14.28515625" bestFit="1" customWidth="1"/>
    <col min="16" max="21" width="10.5703125" bestFit="1" customWidth="1"/>
    <col min="22" max="22" width="15.7109375" bestFit="1" customWidth="1"/>
    <col min="23" max="26" width="10.5703125" bestFit="1" customWidth="1"/>
    <col min="27" max="27" width="17.140625" customWidth="1"/>
    <col min="28" max="28" width="10.5703125" bestFit="1" customWidth="1"/>
    <col min="29" max="29" width="17.42578125" customWidth="1"/>
    <col min="30" max="30" width="19.5703125" customWidth="1"/>
    <col min="31" max="31" width="10.7109375" bestFit="1" customWidth="1"/>
    <col min="37" max="37" width="9.140625" style="173"/>
  </cols>
  <sheetData>
    <row r="1" spans="1:37" ht="25.5" customHeight="1" thickBot="1" x14ac:dyDescent="0.3">
      <c r="A1" s="224"/>
      <c r="B1" s="225"/>
      <c r="C1" s="77" t="s">
        <v>12</v>
      </c>
      <c r="D1" s="77" t="s">
        <v>13</v>
      </c>
      <c r="E1" s="77" t="s">
        <v>14</v>
      </c>
      <c r="F1" s="77" t="s">
        <v>15</v>
      </c>
      <c r="G1" s="77" t="s">
        <v>4</v>
      </c>
      <c r="H1" s="77" t="s">
        <v>99</v>
      </c>
      <c r="I1" s="77" t="s">
        <v>100</v>
      </c>
      <c r="J1" s="77" t="s">
        <v>102</v>
      </c>
      <c r="K1" s="92" t="s">
        <v>101</v>
      </c>
      <c r="L1" s="79" t="s">
        <v>103</v>
      </c>
      <c r="M1" s="77" t="s">
        <v>105</v>
      </c>
      <c r="N1" s="92" t="s">
        <v>104</v>
      </c>
      <c r="O1" s="106" t="s">
        <v>12</v>
      </c>
      <c r="P1" s="79" t="s">
        <v>13</v>
      </c>
      <c r="Q1" s="77" t="s">
        <v>14</v>
      </c>
      <c r="R1" s="77" t="s">
        <v>15</v>
      </c>
      <c r="S1" s="77" t="s">
        <v>4</v>
      </c>
      <c r="T1" s="77" t="s">
        <v>99</v>
      </c>
      <c r="U1" s="77" t="s">
        <v>100</v>
      </c>
      <c r="V1" s="77" t="s">
        <v>102</v>
      </c>
      <c r="W1" s="77" t="s">
        <v>101</v>
      </c>
      <c r="X1" s="77" t="s">
        <v>103</v>
      </c>
      <c r="Y1" s="77" t="s">
        <v>105</v>
      </c>
      <c r="Z1" s="78" t="s">
        <v>104</v>
      </c>
      <c r="AA1" s="77" t="s">
        <v>12</v>
      </c>
      <c r="AB1" s="77" t="s">
        <v>13</v>
      </c>
      <c r="AC1" s="80"/>
      <c r="AD1" s="75"/>
      <c r="AE1" s="75"/>
      <c r="AF1" s="75"/>
      <c r="AG1" s="75"/>
      <c r="AH1" s="75"/>
      <c r="AI1" s="75"/>
      <c r="AJ1" s="75"/>
      <c r="AK1" s="199"/>
    </row>
    <row r="2" spans="1:37" ht="31.5" customHeight="1" thickBot="1" x14ac:dyDescent="0.3">
      <c r="A2" s="243" t="s">
        <v>94</v>
      </c>
      <c r="B2" s="244"/>
      <c r="C2" s="68" t="s">
        <v>69</v>
      </c>
      <c r="D2" s="69" t="s">
        <v>70</v>
      </c>
      <c r="E2" s="69" t="s">
        <v>71</v>
      </c>
      <c r="F2" s="69" t="s">
        <v>72</v>
      </c>
      <c r="G2" s="69" t="s">
        <v>73</v>
      </c>
      <c r="H2" s="69" t="s">
        <v>74</v>
      </c>
      <c r="I2" s="69" t="s">
        <v>75</v>
      </c>
      <c r="J2" s="69" t="s">
        <v>76</v>
      </c>
      <c r="K2" s="245" t="s">
        <v>68</v>
      </c>
      <c r="L2" s="245"/>
      <c r="M2" s="69" t="s">
        <v>77</v>
      </c>
      <c r="N2" s="121" t="s">
        <v>78</v>
      </c>
      <c r="O2" s="122" t="s">
        <v>79</v>
      </c>
      <c r="P2" s="70" t="s">
        <v>80</v>
      </c>
      <c r="Q2" s="70" t="s">
        <v>81</v>
      </c>
      <c r="R2" s="70" t="s">
        <v>82</v>
      </c>
      <c r="S2" s="70" t="s">
        <v>83</v>
      </c>
      <c r="T2" s="70" t="s">
        <v>84</v>
      </c>
      <c r="U2" s="70" t="s">
        <v>85</v>
      </c>
      <c r="V2" s="70" t="s">
        <v>86</v>
      </c>
      <c r="W2" s="70" t="s">
        <v>87</v>
      </c>
      <c r="X2" s="70" t="s">
        <v>88</v>
      </c>
      <c r="Y2" s="70" t="s">
        <v>89</v>
      </c>
      <c r="Z2" s="70" t="s">
        <v>90</v>
      </c>
      <c r="AA2" s="70" t="s">
        <v>91</v>
      </c>
      <c r="AB2" s="70" t="s">
        <v>92</v>
      </c>
      <c r="AC2" s="70" t="s">
        <v>93</v>
      </c>
      <c r="AE2" s="126" t="s">
        <v>107</v>
      </c>
      <c r="AK2" s="56"/>
    </row>
    <row r="3" spans="1:37" ht="15.75" thickTop="1" x14ac:dyDescent="0.25">
      <c r="A3" s="242" t="s">
        <v>98</v>
      </c>
      <c r="B3" s="30">
        <v>693000</v>
      </c>
      <c r="C3" s="71">
        <f>B3+C4-C5</f>
        <v>694401</v>
      </c>
      <c r="D3" s="71">
        <f t="shared" ref="D3:N3" si="0">C3+D4-D5</f>
        <v>695802</v>
      </c>
      <c r="E3" s="209">
        <f>701406+E4-E5</f>
        <v>702807</v>
      </c>
      <c r="F3" s="71">
        <f t="shared" si="0"/>
        <v>704208</v>
      </c>
      <c r="G3" s="71">
        <f t="shared" si="0"/>
        <v>705609</v>
      </c>
      <c r="H3" s="71">
        <f t="shared" si="0"/>
        <v>707010</v>
      </c>
      <c r="I3" s="71">
        <f t="shared" si="0"/>
        <v>708411</v>
      </c>
      <c r="J3" s="71">
        <f t="shared" si="0"/>
        <v>709812</v>
      </c>
      <c r="K3" s="93">
        <f t="shared" si="0"/>
        <v>711213</v>
      </c>
      <c r="L3" s="81">
        <f t="shared" si="0"/>
        <v>712614</v>
      </c>
      <c r="M3" s="73">
        <f>(L3-L6)+M4-M5</f>
        <v>275306</v>
      </c>
      <c r="N3" s="72">
        <f t="shared" si="0"/>
        <v>277998</v>
      </c>
      <c r="O3" s="123">
        <f>N3</f>
        <v>277998</v>
      </c>
      <c r="P3" s="74">
        <f>O3+O4</f>
        <v>279159</v>
      </c>
      <c r="Q3" s="74">
        <f t="shared" ref="Q3:AA3" si="1">P3+P4</f>
        <v>280320</v>
      </c>
      <c r="R3" s="74">
        <f t="shared" si="1"/>
        <v>281481</v>
      </c>
      <c r="S3" s="74">
        <f t="shared" si="1"/>
        <v>282642</v>
      </c>
      <c r="T3" s="74">
        <f t="shared" si="1"/>
        <v>283803</v>
      </c>
      <c r="U3" s="74">
        <f t="shared" si="1"/>
        <v>284964</v>
      </c>
      <c r="V3" s="74">
        <f t="shared" si="1"/>
        <v>286125</v>
      </c>
      <c r="W3" s="74">
        <f t="shared" si="1"/>
        <v>287286</v>
      </c>
      <c r="X3" s="74">
        <f t="shared" si="1"/>
        <v>288447</v>
      </c>
      <c r="Y3" s="74">
        <f t="shared" si="1"/>
        <v>289608</v>
      </c>
      <c r="Z3" s="74">
        <f t="shared" si="1"/>
        <v>290769</v>
      </c>
      <c r="AA3" s="123">
        <f t="shared" si="1"/>
        <v>291930</v>
      </c>
      <c r="AB3" s="75"/>
      <c r="AC3" s="123">
        <v>365034</v>
      </c>
      <c r="AK3" s="56"/>
    </row>
    <row r="4" spans="1:37" x14ac:dyDescent="0.25">
      <c r="A4" s="213"/>
      <c r="B4" s="1" t="s">
        <v>66</v>
      </c>
      <c r="C4" s="12">
        <v>2692</v>
      </c>
      <c r="D4" s="12">
        <v>2692</v>
      </c>
      <c r="E4" s="12">
        <v>2692</v>
      </c>
      <c r="F4" s="12">
        <v>2692</v>
      </c>
      <c r="G4" s="12">
        <v>2692</v>
      </c>
      <c r="H4" s="12">
        <v>2692</v>
      </c>
      <c r="I4" s="12">
        <v>2692</v>
      </c>
      <c r="J4" s="12">
        <v>2692</v>
      </c>
      <c r="K4" s="94">
        <v>2692</v>
      </c>
      <c r="L4" s="82">
        <v>2692</v>
      </c>
      <c r="M4" s="53">
        <v>2692</v>
      </c>
      <c r="N4" s="51">
        <v>2692</v>
      </c>
      <c r="O4" s="124">
        <v>1161</v>
      </c>
      <c r="P4" s="76">
        <v>1161</v>
      </c>
      <c r="Q4" s="76">
        <v>1161</v>
      </c>
      <c r="R4" s="76">
        <v>1161</v>
      </c>
      <c r="S4" s="76">
        <v>1161</v>
      </c>
      <c r="T4" s="76">
        <v>1161</v>
      </c>
      <c r="U4" s="76">
        <v>1161</v>
      </c>
      <c r="V4" s="76">
        <v>1161</v>
      </c>
      <c r="W4" s="76">
        <v>1161</v>
      </c>
      <c r="X4" s="76">
        <v>1161</v>
      </c>
      <c r="Y4" s="76">
        <v>1161</v>
      </c>
      <c r="Z4" s="76">
        <v>1161</v>
      </c>
      <c r="AA4" s="124">
        <v>1161</v>
      </c>
      <c r="AC4" s="124" t="s">
        <v>108</v>
      </c>
      <c r="AK4" s="56"/>
    </row>
    <row r="5" spans="1:37" x14ac:dyDescent="0.25">
      <c r="A5" s="213"/>
      <c r="B5" s="49" t="s">
        <v>67</v>
      </c>
      <c r="C5" s="50">
        <v>1291</v>
      </c>
      <c r="D5" s="50">
        <v>1291</v>
      </c>
      <c r="E5" s="50">
        <v>1291</v>
      </c>
      <c r="F5" s="50">
        <v>1291</v>
      </c>
      <c r="G5" s="50">
        <v>1291</v>
      </c>
      <c r="H5" s="50">
        <v>1291</v>
      </c>
      <c r="I5" s="50">
        <v>1291</v>
      </c>
      <c r="J5" s="50">
        <v>1291</v>
      </c>
      <c r="K5" s="95">
        <v>1291</v>
      </c>
      <c r="L5" s="83">
        <v>1291</v>
      </c>
      <c r="M5" s="54"/>
      <c r="N5" s="52"/>
      <c r="O5" s="125">
        <v>286330</v>
      </c>
      <c r="AA5" s="125" t="s">
        <v>110</v>
      </c>
      <c r="AC5" s="125">
        <v>408789</v>
      </c>
      <c r="AK5" s="56"/>
    </row>
    <row r="6" spans="1:37" ht="15.75" thickBot="1" x14ac:dyDescent="0.3">
      <c r="A6" s="213"/>
      <c r="C6" s="76"/>
      <c r="D6" s="76"/>
      <c r="E6" s="76"/>
      <c r="F6" s="76"/>
      <c r="G6" s="76"/>
      <c r="H6" s="76"/>
      <c r="I6" s="76"/>
      <c r="J6" s="76"/>
      <c r="K6" s="127"/>
      <c r="L6" s="128">
        <v>440000</v>
      </c>
      <c r="M6" s="76"/>
      <c r="N6" s="76" t="s">
        <v>96</v>
      </c>
      <c r="O6" s="129">
        <f>(O3-O5)/12</f>
        <v>-694.33333333333337</v>
      </c>
      <c r="AA6" s="129"/>
      <c r="AC6" s="129" t="s">
        <v>109</v>
      </c>
      <c r="AK6" s="56"/>
    </row>
    <row r="7" spans="1:37" ht="16.5" thickBot="1" x14ac:dyDescent="0.3">
      <c r="A7" s="226" t="s">
        <v>111</v>
      </c>
      <c r="B7" s="227"/>
      <c r="C7" s="227"/>
      <c r="D7" s="227"/>
      <c r="E7" s="227"/>
      <c r="F7" s="227"/>
      <c r="G7" s="227"/>
      <c r="H7" s="227"/>
      <c r="I7" s="227"/>
      <c r="J7" s="227"/>
      <c r="K7" s="227"/>
      <c r="L7" s="227"/>
      <c r="M7" s="227"/>
      <c r="N7" s="227"/>
      <c r="O7" s="227"/>
      <c r="P7" s="227"/>
      <c r="Q7" s="227"/>
      <c r="R7" s="227"/>
      <c r="S7" s="227"/>
      <c r="T7" s="227"/>
      <c r="U7" s="227"/>
      <c r="V7" s="227"/>
      <c r="W7" s="227"/>
      <c r="X7" s="227"/>
      <c r="Y7" s="227"/>
      <c r="Z7" s="227"/>
      <c r="AA7" s="227"/>
      <c r="AB7" s="227"/>
      <c r="AC7" s="227"/>
      <c r="AD7" s="228"/>
      <c r="AE7" s="228"/>
      <c r="AF7" s="228"/>
      <c r="AG7" s="228"/>
      <c r="AH7" s="228"/>
      <c r="AI7" s="228"/>
      <c r="AJ7" s="228"/>
      <c r="AK7" s="229"/>
    </row>
    <row r="8" spans="1:37" ht="15.75" thickTop="1" x14ac:dyDescent="0.25">
      <c r="A8" s="241" t="s">
        <v>97</v>
      </c>
      <c r="B8" s="5"/>
      <c r="C8" s="5" t="s">
        <v>12</v>
      </c>
      <c r="D8" s="5" t="s">
        <v>13</v>
      </c>
      <c r="E8" s="5" t="s">
        <v>14</v>
      </c>
      <c r="F8" s="5" t="s">
        <v>15</v>
      </c>
      <c r="G8" s="5" t="s">
        <v>4</v>
      </c>
      <c r="H8" s="5" t="s">
        <v>5</v>
      </c>
      <c r="I8" s="5" t="s">
        <v>6</v>
      </c>
      <c r="J8" s="5" t="s">
        <v>7</v>
      </c>
      <c r="K8" s="96" t="s">
        <v>8</v>
      </c>
      <c r="L8" s="84" t="s">
        <v>9</v>
      </c>
      <c r="M8" s="5" t="s">
        <v>10</v>
      </c>
      <c r="N8" s="100" t="s">
        <v>11</v>
      </c>
      <c r="O8" s="87" t="s">
        <v>12</v>
      </c>
      <c r="P8" s="5" t="s">
        <v>13</v>
      </c>
      <c r="Q8" s="5" t="s">
        <v>14</v>
      </c>
      <c r="R8" s="5" t="s">
        <v>15</v>
      </c>
      <c r="S8" s="5" t="s">
        <v>4</v>
      </c>
      <c r="T8" s="5" t="s">
        <v>5</v>
      </c>
      <c r="U8" s="5" t="s">
        <v>6</v>
      </c>
      <c r="V8" s="5" t="s">
        <v>7</v>
      </c>
      <c r="W8" s="5" t="s">
        <v>8</v>
      </c>
      <c r="X8" s="5" t="s">
        <v>9</v>
      </c>
      <c r="Y8" s="5" t="s">
        <v>10</v>
      </c>
      <c r="Z8" s="5" t="s">
        <v>11</v>
      </c>
      <c r="AA8" s="5" t="s">
        <v>12</v>
      </c>
      <c r="AB8" s="5" t="s">
        <v>13</v>
      </c>
      <c r="AC8" s="148"/>
      <c r="AD8" s="230" t="s">
        <v>112</v>
      </c>
      <c r="AE8" s="231"/>
      <c r="AF8" s="231"/>
      <c r="AG8" s="231"/>
      <c r="AH8" s="231"/>
      <c r="AI8" s="232"/>
      <c r="AJ8" s="152" t="s">
        <v>18</v>
      </c>
      <c r="AK8" s="203"/>
    </row>
    <row r="9" spans="1:37" x14ac:dyDescent="0.25">
      <c r="A9" s="241"/>
      <c r="B9" s="1" t="s">
        <v>0</v>
      </c>
      <c r="C9" s="2">
        <f>AK9</f>
        <v>249.41666666666669</v>
      </c>
      <c r="D9" s="2">
        <f>C9</f>
        <v>249.41666666666669</v>
      </c>
      <c r="E9" s="2">
        <f t="shared" ref="E9:G9" si="2">D9</f>
        <v>249.41666666666669</v>
      </c>
      <c r="F9" s="2">
        <f t="shared" si="2"/>
        <v>249.41666666666669</v>
      </c>
      <c r="G9" s="2">
        <f t="shared" si="2"/>
        <v>249.41666666666669</v>
      </c>
      <c r="H9" s="2">
        <f>G9</f>
        <v>249.41666666666669</v>
      </c>
      <c r="I9" s="2">
        <f t="shared" ref="I9:R11" si="3">H9</f>
        <v>249.41666666666669</v>
      </c>
      <c r="J9" s="2">
        <f t="shared" si="3"/>
        <v>249.41666666666669</v>
      </c>
      <c r="K9" s="97">
        <f t="shared" si="3"/>
        <v>249.41666666666669</v>
      </c>
      <c r="L9" s="85">
        <f t="shared" si="3"/>
        <v>249.41666666666669</v>
      </c>
      <c r="M9" s="2">
        <f t="shared" si="3"/>
        <v>249.41666666666669</v>
      </c>
      <c r="N9" s="97">
        <f t="shared" si="3"/>
        <v>249.41666666666669</v>
      </c>
      <c r="O9" s="85">
        <f t="shared" si="3"/>
        <v>249.41666666666669</v>
      </c>
      <c r="P9" s="2">
        <f t="shared" si="3"/>
        <v>249.41666666666669</v>
      </c>
      <c r="Q9" s="2">
        <f t="shared" si="3"/>
        <v>249.41666666666669</v>
      </c>
      <c r="R9" s="2">
        <f t="shared" si="3"/>
        <v>249.41666666666669</v>
      </c>
      <c r="S9" s="2">
        <f t="shared" ref="S9:S11" si="4">R9</f>
        <v>249.41666666666669</v>
      </c>
      <c r="T9" s="2">
        <f t="shared" ref="T9:T11" si="5">S9</f>
        <v>249.41666666666669</v>
      </c>
      <c r="U9" s="2">
        <f t="shared" ref="U9:U11" si="6">T9</f>
        <v>249.41666666666669</v>
      </c>
      <c r="V9" s="2">
        <f t="shared" ref="V9:V11" si="7">U9</f>
        <v>249.41666666666669</v>
      </c>
      <c r="W9" s="2">
        <f t="shared" ref="W9:W11" si="8">V9</f>
        <v>249.41666666666669</v>
      </c>
      <c r="X9" s="2">
        <f t="shared" ref="X9:X11" si="9">W9</f>
        <v>249.41666666666669</v>
      </c>
      <c r="Y9" s="2">
        <f t="shared" ref="Y9:Y11" si="10">X9</f>
        <v>249.41666666666669</v>
      </c>
      <c r="Z9" s="2">
        <f t="shared" ref="Z9:Z11" si="11">Y9</f>
        <v>249.41666666666669</v>
      </c>
      <c r="AA9" s="2">
        <f t="shared" ref="AA9:AA11" si="12">Z9</f>
        <v>249.41666666666669</v>
      </c>
      <c r="AB9" s="2">
        <f t="shared" ref="AB9:AB11" si="13">AA9</f>
        <v>249.41666666666669</v>
      </c>
      <c r="AC9" s="38"/>
      <c r="AD9" s="153" t="s">
        <v>16</v>
      </c>
      <c r="AE9" s="132">
        <v>420</v>
      </c>
      <c r="AF9" s="131" t="s">
        <v>17</v>
      </c>
      <c r="AG9" s="132">
        <v>2500</v>
      </c>
      <c r="AH9" s="132">
        <f>AE9+AG9</f>
        <v>2920</v>
      </c>
      <c r="AI9" s="133">
        <f>AH9/12</f>
        <v>243.33333333333334</v>
      </c>
      <c r="AJ9" s="134">
        <v>2.5000000000000001E-2</v>
      </c>
      <c r="AK9" s="135">
        <f>(AI9*AJ9)+AI9</f>
        <v>249.41666666666669</v>
      </c>
    </row>
    <row r="10" spans="1:37" x14ac:dyDescent="0.25">
      <c r="A10" s="241"/>
      <c r="B10" s="1" t="s">
        <v>1</v>
      </c>
      <c r="C10" s="2">
        <f>AK10</f>
        <v>202.52291666666667</v>
      </c>
      <c r="D10" s="2">
        <f>C10</f>
        <v>202.52291666666667</v>
      </c>
      <c r="E10" s="2">
        <f t="shared" ref="E10:G10" si="14">D10</f>
        <v>202.52291666666667</v>
      </c>
      <c r="F10" s="2">
        <f t="shared" si="14"/>
        <v>202.52291666666667</v>
      </c>
      <c r="G10" s="2">
        <f t="shared" si="14"/>
        <v>202.52291666666667</v>
      </c>
      <c r="H10" s="2">
        <f>G10</f>
        <v>202.52291666666667</v>
      </c>
      <c r="I10" s="2">
        <f t="shared" si="3"/>
        <v>202.52291666666667</v>
      </c>
      <c r="J10" s="2">
        <f t="shared" si="3"/>
        <v>202.52291666666667</v>
      </c>
      <c r="K10" s="97">
        <f t="shared" si="3"/>
        <v>202.52291666666667</v>
      </c>
      <c r="L10" s="85">
        <f t="shared" si="3"/>
        <v>202.52291666666667</v>
      </c>
      <c r="M10" s="2">
        <f t="shared" si="3"/>
        <v>202.52291666666667</v>
      </c>
      <c r="N10" s="97">
        <f t="shared" si="3"/>
        <v>202.52291666666667</v>
      </c>
      <c r="O10" s="85">
        <f t="shared" si="3"/>
        <v>202.52291666666667</v>
      </c>
      <c r="P10" s="2">
        <f t="shared" si="3"/>
        <v>202.52291666666667</v>
      </c>
      <c r="Q10" s="2">
        <f t="shared" si="3"/>
        <v>202.52291666666667</v>
      </c>
      <c r="R10" s="2">
        <f t="shared" si="3"/>
        <v>202.52291666666667</v>
      </c>
      <c r="S10" s="2">
        <f t="shared" si="4"/>
        <v>202.52291666666667</v>
      </c>
      <c r="T10" s="2">
        <f t="shared" si="5"/>
        <v>202.52291666666667</v>
      </c>
      <c r="U10" s="2">
        <f t="shared" si="6"/>
        <v>202.52291666666667</v>
      </c>
      <c r="V10" s="2">
        <f t="shared" si="7"/>
        <v>202.52291666666667</v>
      </c>
      <c r="W10" s="2">
        <f t="shared" si="8"/>
        <v>202.52291666666667</v>
      </c>
      <c r="X10" s="2">
        <f t="shared" si="9"/>
        <v>202.52291666666667</v>
      </c>
      <c r="Y10" s="2">
        <f t="shared" si="10"/>
        <v>202.52291666666667</v>
      </c>
      <c r="Z10" s="2">
        <f t="shared" si="11"/>
        <v>202.52291666666667</v>
      </c>
      <c r="AA10" s="2">
        <f t="shared" si="12"/>
        <v>202.52291666666667</v>
      </c>
      <c r="AB10" s="2">
        <f t="shared" si="13"/>
        <v>202.52291666666667</v>
      </c>
      <c r="AC10" s="38"/>
      <c r="AD10" s="1" t="s">
        <v>0</v>
      </c>
      <c r="AE10" s="131"/>
      <c r="AF10" s="131"/>
      <c r="AG10" s="132">
        <v>2371</v>
      </c>
      <c r="AH10" s="132">
        <f>AE10+AG10</f>
        <v>2371</v>
      </c>
      <c r="AI10" s="133">
        <f>AH10/12</f>
        <v>197.58333333333334</v>
      </c>
      <c r="AJ10" s="134">
        <v>2.5000000000000001E-2</v>
      </c>
      <c r="AK10" s="135">
        <f>(AI10*AJ10)+AI10</f>
        <v>202.52291666666667</v>
      </c>
    </row>
    <row r="11" spans="1:37" x14ac:dyDescent="0.25">
      <c r="A11" s="241"/>
      <c r="B11" s="1" t="s">
        <v>2</v>
      </c>
      <c r="C11" s="2">
        <f>AK11</f>
        <v>205</v>
      </c>
      <c r="D11" s="2">
        <f>C11</f>
        <v>205</v>
      </c>
      <c r="E11" s="2">
        <f t="shared" ref="E11:G11" si="15">D11</f>
        <v>205</v>
      </c>
      <c r="F11" s="2">
        <f t="shared" si="15"/>
        <v>205</v>
      </c>
      <c r="G11" s="2">
        <f t="shared" si="15"/>
        <v>205</v>
      </c>
      <c r="H11" s="2">
        <f>G11</f>
        <v>205</v>
      </c>
      <c r="I11" s="2">
        <f t="shared" si="3"/>
        <v>205</v>
      </c>
      <c r="J11" s="2">
        <f t="shared" si="3"/>
        <v>205</v>
      </c>
      <c r="K11" s="97">
        <f t="shared" si="3"/>
        <v>205</v>
      </c>
      <c r="L11" s="85">
        <f t="shared" si="3"/>
        <v>205</v>
      </c>
      <c r="M11" s="2">
        <f t="shared" si="3"/>
        <v>205</v>
      </c>
      <c r="N11" s="97">
        <f t="shared" si="3"/>
        <v>205</v>
      </c>
      <c r="O11" s="85">
        <f t="shared" si="3"/>
        <v>205</v>
      </c>
      <c r="P11" s="2">
        <f t="shared" si="3"/>
        <v>205</v>
      </c>
      <c r="Q11" s="2">
        <f t="shared" si="3"/>
        <v>205</v>
      </c>
      <c r="R11" s="2">
        <f t="shared" si="3"/>
        <v>205</v>
      </c>
      <c r="S11" s="2">
        <f t="shared" si="4"/>
        <v>205</v>
      </c>
      <c r="T11" s="2">
        <f t="shared" si="5"/>
        <v>205</v>
      </c>
      <c r="U11" s="2">
        <f t="shared" si="6"/>
        <v>205</v>
      </c>
      <c r="V11" s="2">
        <f t="shared" si="7"/>
        <v>205</v>
      </c>
      <c r="W11" s="2">
        <f t="shared" si="8"/>
        <v>205</v>
      </c>
      <c r="X11" s="2">
        <f t="shared" si="9"/>
        <v>205</v>
      </c>
      <c r="Y11" s="2">
        <f t="shared" si="10"/>
        <v>205</v>
      </c>
      <c r="Z11" s="2">
        <f t="shared" si="11"/>
        <v>205</v>
      </c>
      <c r="AA11" s="2">
        <f t="shared" si="12"/>
        <v>205</v>
      </c>
      <c r="AB11" s="2">
        <f t="shared" si="13"/>
        <v>205</v>
      </c>
      <c r="AC11" s="38"/>
      <c r="AD11" s="1" t="s">
        <v>1</v>
      </c>
      <c r="AE11" s="131"/>
      <c r="AF11" s="131"/>
      <c r="AG11" s="132">
        <v>2400</v>
      </c>
      <c r="AH11" s="132">
        <f>AE11+AG11</f>
        <v>2400</v>
      </c>
      <c r="AI11" s="133">
        <f>AH11/12</f>
        <v>200</v>
      </c>
      <c r="AJ11" s="134">
        <v>2.5000000000000001E-2</v>
      </c>
      <c r="AK11" s="135">
        <f>(AI11*AJ11)+AI11</f>
        <v>205</v>
      </c>
    </row>
    <row r="12" spans="1:37" x14ac:dyDescent="0.25">
      <c r="A12" s="241"/>
      <c r="B12" s="1" t="s">
        <v>3</v>
      </c>
      <c r="C12" s="1"/>
      <c r="D12" s="1"/>
      <c r="E12" s="1"/>
      <c r="F12" s="1"/>
      <c r="G12" s="1"/>
      <c r="H12" s="1"/>
      <c r="I12" s="1"/>
      <c r="J12" s="1"/>
      <c r="K12" s="98"/>
      <c r="L12" s="36"/>
      <c r="M12" s="1"/>
      <c r="N12" s="98"/>
      <c r="O12" s="36"/>
      <c r="P12" s="1"/>
      <c r="Q12" s="1"/>
      <c r="R12" s="1"/>
      <c r="S12" s="1"/>
      <c r="T12" s="1"/>
      <c r="U12" s="1"/>
      <c r="V12" s="1"/>
      <c r="W12" s="1"/>
      <c r="X12" s="1"/>
      <c r="Y12" s="1"/>
      <c r="Z12" s="1"/>
      <c r="AA12" s="1"/>
      <c r="AB12" s="1"/>
      <c r="AC12" s="38"/>
      <c r="AD12" s="1" t="s">
        <v>2</v>
      </c>
      <c r="AE12" s="131"/>
      <c r="AF12" s="131"/>
      <c r="AG12" s="131"/>
      <c r="AH12" s="131"/>
      <c r="AI12" s="133">
        <f t="shared" ref="AI12:AI16" si="16">AH12/12</f>
        <v>0</v>
      </c>
      <c r="AJ12" s="134">
        <v>2.5000000000000001E-2</v>
      </c>
      <c r="AK12" s="135">
        <f t="shared" ref="AK12:AK16" si="17">(AI12*AJ12)+AI12</f>
        <v>0</v>
      </c>
    </row>
    <row r="13" spans="1:37" ht="15.75" thickBot="1" x14ac:dyDescent="0.3">
      <c r="A13" s="241"/>
      <c r="B13" s="48" t="s">
        <v>64</v>
      </c>
      <c r="C13" s="11">
        <f>AE14</f>
        <v>132</v>
      </c>
      <c r="D13" s="11">
        <f>C13</f>
        <v>132</v>
      </c>
      <c r="E13" s="11">
        <f t="shared" ref="E13:AB13" si="18">D13</f>
        <v>132</v>
      </c>
      <c r="F13" s="11">
        <f t="shared" si="18"/>
        <v>132</v>
      </c>
      <c r="G13" s="11">
        <f t="shared" si="18"/>
        <v>132</v>
      </c>
      <c r="H13" s="11">
        <f t="shared" si="18"/>
        <v>132</v>
      </c>
      <c r="I13" s="11">
        <f t="shared" si="18"/>
        <v>132</v>
      </c>
      <c r="J13" s="11">
        <f t="shared" si="18"/>
        <v>132</v>
      </c>
      <c r="K13" s="98">
        <f t="shared" si="18"/>
        <v>132</v>
      </c>
      <c r="L13" s="11">
        <f t="shared" si="18"/>
        <v>132</v>
      </c>
      <c r="M13" s="11">
        <f t="shared" si="18"/>
        <v>132</v>
      </c>
      <c r="N13" s="98">
        <f t="shared" si="18"/>
        <v>132</v>
      </c>
      <c r="O13" s="11">
        <f t="shared" si="18"/>
        <v>132</v>
      </c>
      <c r="P13" s="11">
        <f t="shared" si="18"/>
        <v>132</v>
      </c>
      <c r="Q13" s="11">
        <f t="shared" si="18"/>
        <v>132</v>
      </c>
      <c r="R13" s="11">
        <f t="shared" si="18"/>
        <v>132</v>
      </c>
      <c r="S13" s="11">
        <f t="shared" si="18"/>
        <v>132</v>
      </c>
      <c r="T13" s="11">
        <f t="shared" si="18"/>
        <v>132</v>
      </c>
      <c r="U13" s="11">
        <f t="shared" si="18"/>
        <v>132</v>
      </c>
      <c r="V13" s="11">
        <f t="shared" si="18"/>
        <v>132</v>
      </c>
      <c r="W13" s="11">
        <f t="shared" si="18"/>
        <v>132</v>
      </c>
      <c r="X13" s="11">
        <f t="shared" si="18"/>
        <v>132</v>
      </c>
      <c r="Y13" s="11">
        <f t="shared" si="18"/>
        <v>132</v>
      </c>
      <c r="Z13" s="11">
        <f t="shared" si="18"/>
        <v>132</v>
      </c>
      <c r="AA13" s="11">
        <f t="shared" si="18"/>
        <v>132</v>
      </c>
      <c r="AB13" s="11">
        <f t="shared" si="18"/>
        <v>132</v>
      </c>
      <c r="AC13" s="149"/>
      <c r="AD13" s="1" t="s">
        <v>3</v>
      </c>
      <c r="AE13" s="136"/>
      <c r="AF13" s="136"/>
      <c r="AG13" s="136"/>
      <c r="AH13" s="136"/>
      <c r="AI13" s="137">
        <f t="shared" si="16"/>
        <v>0</v>
      </c>
      <c r="AJ13" s="138">
        <v>2.5000000000000001E-2</v>
      </c>
      <c r="AK13" s="139">
        <f t="shared" si="17"/>
        <v>0</v>
      </c>
    </row>
    <row r="14" spans="1:37" ht="15.75" thickBot="1" x14ac:dyDescent="0.3">
      <c r="A14" s="241"/>
      <c r="B14" s="6" t="s">
        <v>21</v>
      </c>
      <c r="C14" s="8">
        <f>SUM(C9:C13)</f>
        <v>788.9395833333333</v>
      </c>
      <c r="D14" s="8">
        <f t="shared" ref="D14:F14" si="19">SUM(D9:D13)</f>
        <v>788.9395833333333</v>
      </c>
      <c r="E14" s="8">
        <f t="shared" si="19"/>
        <v>788.9395833333333</v>
      </c>
      <c r="F14" s="8">
        <f t="shared" si="19"/>
        <v>788.9395833333333</v>
      </c>
      <c r="G14" s="8">
        <f>SUM(G9:G13)</f>
        <v>788.9395833333333</v>
      </c>
      <c r="H14" s="8">
        <f t="shared" ref="H14:R14" si="20">SUM(H9:H13)</f>
        <v>788.9395833333333</v>
      </c>
      <c r="I14" s="8">
        <f t="shared" si="20"/>
        <v>788.9395833333333</v>
      </c>
      <c r="J14" s="8">
        <f t="shared" si="20"/>
        <v>788.9395833333333</v>
      </c>
      <c r="K14" s="99">
        <f t="shared" si="20"/>
        <v>788.9395833333333</v>
      </c>
      <c r="L14" s="86">
        <f t="shared" si="20"/>
        <v>788.9395833333333</v>
      </c>
      <c r="M14" s="8">
        <f t="shared" si="20"/>
        <v>788.9395833333333</v>
      </c>
      <c r="N14" s="99">
        <f t="shared" si="20"/>
        <v>788.9395833333333</v>
      </c>
      <c r="O14" s="86">
        <f t="shared" si="20"/>
        <v>788.9395833333333</v>
      </c>
      <c r="P14" s="8">
        <f t="shared" si="20"/>
        <v>788.9395833333333</v>
      </c>
      <c r="Q14" s="8">
        <f t="shared" si="20"/>
        <v>788.9395833333333</v>
      </c>
      <c r="R14" s="8">
        <f t="shared" si="20"/>
        <v>788.9395833333333</v>
      </c>
      <c r="S14" s="8">
        <f t="shared" ref="S14:AB14" si="21">SUM(S9:S13)</f>
        <v>788.9395833333333</v>
      </c>
      <c r="T14" s="8">
        <f t="shared" si="21"/>
        <v>788.9395833333333</v>
      </c>
      <c r="U14" s="8">
        <f t="shared" si="21"/>
        <v>788.9395833333333</v>
      </c>
      <c r="V14" s="8">
        <f t="shared" si="21"/>
        <v>788.9395833333333</v>
      </c>
      <c r="W14" s="8">
        <f t="shared" si="21"/>
        <v>788.9395833333333</v>
      </c>
      <c r="X14" s="8">
        <f t="shared" si="21"/>
        <v>788.9395833333333</v>
      </c>
      <c r="Y14" s="8">
        <f t="shared" si="21"/>
        <v>788.9395833333333</v>
      </c>
      <c r="Z14" s="8">
        <f t="shared" si="21"/>
        <v>788.9395833333333</v>
      </c>
      <c r="AA14" s="8">
        <f t="shared" si="21"/>
        <v>788.9395833333333</v>
      </c>
      <c r="AB14" s="8">
        <f t="shared" si="21"/>
        <v>788.9395833333333</v>
      </c>
      <c r="AC14" s="150"/>
      <c r="AD14" s="48" t="s">
        <v>64</v>
      </c>
      <c r="AE14" s="156">
        <v>132</v>
      </c>
      <c r="AF14" s="7" t="s">
        <v>113</v>
      </c>
      <c r="AG14" s="7"/>
      <c r="AH14" s="7"/>
      <c r="AI14" s="8"/>
      <c r="AJ14" s="9"/>
      <c r="AK14" s="10"/>
    </row>
    <row r="15" spans="1:37" ht="15.75" thickBot="1" x14ac:dyDescent="0.3">
      <c r="A15" s="241"/>
      <c r="B15" s="5"/>
      <c r="C15" s="5"/>
      <c r="D15" s="5"/>
      <c r="E15" s="5"/>
      <c r="F15" s="5"/>
      <c r="G15" s="5"/>
      <c r="H15" s="5"/>
      <c r="I15" s="5"/>
      <c r="J15" s="5"/>
      <c r="K15" s="100"/>
      <c r="L15" s="87"/>
      <c r="M15" s="5"/>
      <c r="N15" s="100"/>
      <c r="O15" s="87"/>
      <c r="P15" s="5"/>
      <c r="Q15" s="5"/>
      <c r="R15" s="5"/>
      <c r="S15" s="5"/>
      <c r="T15" s="5"/>
      <c r="U15" s="5"/>
      <c r="V15" s="5"/>
      <c r="W15" s="5"/>
      <c r="X15" s="5"/>
      <c r="Y15" s="5"/>
      <c r="Z15" s="5"/>
      <c r="AA15" s="5"/>
      <c r="AB15" s="5"/>
      <c r="AC15" s="148"/>
      <c r="AD15" s="6"/>
      <c r="AE15" s="140">
        <v>46070</v>
      </c>
      <c r="AF15" s="130"/>
      <c r="AG15" s="130"/>
      <c r="AH15" s="130"/>
      <c r="AI15" s="141">
        <f t="shared" si="16"/>
        <v>0</v>
      </c>
      <c r="AJ15" s="142">
        <v>2.5000000000000001E-2</v>
      </c>
      <c r="AK15" s="143">
        <f t="shared" si="17"/>
        <v>0</v>
      </c>
    </row>
    <row r="16" spans="1:37" ht="15.75" thickBot="1" x14ac:dyDescent="0.3">
      <c r="A16" s="241"/>
      <c r="B16" s="4" t="s">
        <v>19</v>
      </c>
      <c r="C16" s="11">
        <f>AE16</f>
        <v>2400</v>
      </c>
      <c r="D16" s="11">
        <f>C16</f>
        <v>2400</v>
      </c>
      <c r="E16" s="11">
        <f t="shared" ref="E16:AB16" si="22">D16</f>
        <v>2400</v>
      </c>
      <c r="F16" s="11">
        <f t="shared" si="22"/>
        <v>2400</v>
      </c>
      <c r="G16" s="11">
        <f t="shared" si="22"/>
        <v>2400</v>
      </c>
      <c r="H16" s="11">
        <f t="shared" si="22"/>
        <v>2400</v>
      </c>
      <c r="I16" s="11">
        <f t="shared" si="22"/>
        <v>2400</v>
      </c>
      <c r="J16" s="11">
        <f t="shared" si="22"/>
        <v>2400</v>
      </c>
      <c r="K16" s="98">
        <f t="shared" si="22"/>
        <v>2400</v>
      </c>
      <c r="L16" s="11">
        <f t="shared" si="22"/>
        <v>2400</v>
      </c>
      <c r="M16" s="11">
        <f t="shared" si="22"/>
        <v>2400</v>
      </c>
      <c r="N16" s="98">
        <f t="shared" si="22"/>
        <v>2400</v>
      </c>
      <c r="O16" s="11">
        <f t="shared" si="22"/>
        <v>2400</v>
      </c>
      <c r="P16" s="11">
        <f t="shared" si="22"/>
        <v>2400</v>
      </c>
      <c r="Q16" s="11">
        <f t="shared" si="22"/>
        <v>2400</v>
      </c>
      <c r="R16" s="11">
        <f t="shared" si="22"/>
        <v>2400</v>
      </c>
      <c r="S16" s="11">
        <f t="shared" si="22"/>
        <v>2400</v>
      </c>
      <c r="T16" s="11">
        <f t="shared" si="22"/>
        <v>2400</v>
      </c>
      <c r="U16" s="11">
        <f t="shared" si="22"/>
        <v>2400</v>
      </c>
      <c r="V16" s="11">
        <f t="shared" si="22"/>
        <v>2400</v>
      </c>
      <c r="W16" s="11">
        <f t="shared" si="22"/>
        <v>2400</v>
      </c>
      <c r="X16" s="11">
        <f t="shared" si="22"/>
        <v>2400</v>
      </c>
      <c r="Y16" s="11">
        <f t="shared" si="22"/>
        <v>2400</v>
      </c>
      <c r="Z16" s="11">
        <f t="shared" si="22"/>
        <v>2400</v>
      </c>
      <c r="AA16" s="11">
        <f t="shared" si="22"/>
        <v>2400</v>
      </c>
      <c r="AB16" s="11">
        <f t="shared" si="22"/>
        <v>2400</v>
      </c>
      <c r="AC16" s="149"/>
      <c r="AD16" s="154" t="s">
        <v>106</v>
      </c>
      <c r="AE16" s="155">
        <v>2400</v>
      </c>
      <c r="AF16" s="136"/>
      <c r="AG16" s="136"/>
      <c r="AH16" s="136"/>
      <c r="AI16" s="137">
        <f t="shared" si="16"/>
        <v>0</v>
      </c>
      <c r="AJ16" s="138">
        <v>2.5000000000000001E-2</v>
      </c>
      <c r="AK16" s="139">
        <f t="shared" si="17"/>
        <v>0</v>
      </c>
    </row>
    <row r="17" spans="1:37" ht="15.75" thickBot="1" x14ac:dyDescent="0.3">
      <c r="A17" s="241"/>
      <c r="B17" s="117" t="s">
        <v>22</v>
      </c>
      <c r="C17" s="118">
        <f>C16-C14</f>
        <v>1611.0604166666667</v>
      </c>
      <c r="D17" s="118">
        <f t="shared" ref="D17:F17" si="23">D16-D14</f>
        <v>1611.0604166666667</v>
      </c>
      <c r="E17" s="118">
        <f t="shared" si="23"/>
        <v>1611.0604166666667</v>
      </c>
      <c r="F17" s="118">
        <f t="shared" si="23"/>
        <v>1611.0604166666667</v>
      </c>
      <c r="G17" s="118">
        <f>G16-G14</f>
        <v>1611.0604166666667</v>
      </c>
      <c r="H17" s="118">
        <f t="shared" ref="H17:R17" si="24">H16-H14</f>
        <v>1611.0604166666667</v>
      </c>
      <c r="I17" s="118">
        <f t="shared" si="24"/>
        <v>1611.0604166666667</v>
      </c>
      <c r="J17" s="118">
        <f t="shared" si="24"/>
        <v>1611.0604166666667</v>
      </c>
      <c r="K17" s="119">
        <f t="shared" si="24"/>
        <v>1611.0604166666667</v>
      </c>
      <c r="L17" s="120">
        <f t="shared" si="24"/>
        <v>1611.0604166666667</v>
      </c>
      <c r="M17" s="118">
        <f t="shared" si="24"/>
        <v>1611.0604166666667</v>
      </c>
      <c r="N17" s="119">
        <f t="shared" si="24"/>
        <v>1611.0604166666667</v>
      </c>
      <c r="O17" s="120">
        <f t="shared" si="24"/>
        <v>1611.0604166666667</v>
      </c>
      <c r="P17" s="118">
        <f t="shared" si="24"/>
        <v>1611.0604166666667</v>
      </c>
      <c r="Q17" s="118">
        <f t="shared" si="24"/>
        <v>1611.0604166666667</v>
      </c>
      <c r="R17" s="118">
        <f t="shared" si="24"/>
        <v>1611.0604166666667</v>
      </c>
      <c r="S17" s="118">
        <f t="shared" ref="S17:AB17" si="25">S16-S14</f>
        <v>1611.0604166666667</v>
      </c>
      <c r="T17" s="118">
        <f t="shared" si="25"/>
        <v>1611.0604166666667</v>
      </c>
      <c r="U17" s="118">
        <f t="shared" si="25"/>
        <v>1611.0604166666667</v>
      </c>
      <c r="V17" s="118">
        <f t="shared" si="25"/>
        <v>1611.0604166666667</v>
      </c>
      <c r="W17" s="118">
        <f t="shared" si="25"/>
        <v>1611.0604166666667</v>
      </c>
      <c r="X17" s="118">
        <f t="shared" si="25"/>
        <v>1611.0604166666667</v>
      </c>
      <c r="Y17" s="118">
        <f t="shared" si="25"/>
        <v>1611.0604166666667</v>
      </c>
      <c r="Z17" s="118">
        <f t="shared" si="25"/>
        <v>1611.0604166666667</v>
      </c>
      <c r="AA17" s="118">
        <f t="shared" si="25"/>
        <v>1611.0604166666667</v>
      </c>
      <c r="AB17" s="118">
        <f t="shared" si="25"/>
        <v>1611.0604166666667</v>
      </c>
      <c r="AC17" s="151"/>
      <c r="AD17" s="178"/>
      <c r="AE17" s="144"/>
      <c r="AF17" s="144"/>
      <c r="AG17" s="144"/>
      <c r="AH17" s="144"/>
      <c r="AI17" s="145"/>
      <c r="AJ17" s="146"/>
      <c r="AK17" s="147"/>
    </row>
    <row r="18" spans="1:37" ht="16.5" thickBot="1" x14ac:dyDescent="0.3">
      <c r="A18" s="226"/>
      <c r="B18" s="227"/>
      <c r="C18" s="227"/>
      <c r="D18" s="227"/>
      <c r="E18" s="227"/>
      <c r="F18" s="227"/>
      <c r="G18" s="227"/>
      <c r="H18" s="227"/>
      <c r="I18" s="227"/>
      <c r="J18" s="227"/>
      <c r="K18" s="227"/>
      <c r="L18" s="227"/>
      <c r="M18" s="227"/>
      <c r="N18" s="227"/>
      <c r="O18" s="227"/>
      <c r="P18" s="227"/>
      <c r="Q18" s="227"/>
      <c r="R18" s="227"/>
      <c r="S18" s="227"/>
      <c r="T18" s="227"/>
      <c r="U18" s="227"/>
      <c r="V18" s="227"/>
      <c r="W18" s="227"/>
      <c r="X18" s="227"/>
      <c r="Y18" s="227"/>
      <c r="Z18" s="227"/>
      <c r="AA18" s="227"/>
      <c r="AB18" s="227"/>
      <c r="AC18" s="227"/>
      <c r="AD18" s="227"/>
      <c r="AE18" s="227"/>
      <c r="AF18" s="227"/>
      <c r="AG18" s="227"/>
      <c r="AH18" s="227"/>
      <c r="AI18" s="227"/>
      <c r="AJ18" s="227"/>
      <c r="AK18" s="233"/>
    </row>
    <row r="19" spans="1:37" x14ac:dyDescent="0.25">
      <c r="A19" s="212" t="s">
        <v>55</v>
      </c>
      <c r="B19" s="64" t="s">
        <v>51</v>
      </c>
      <c r="C19" s="65"/>
      <c r="D19" s="65"/>
      <c r="E19" s="65"/>
      <c r="F19" s="65" t="s">
        <v>136</v>
      </c>
      <c r="G19" s="66"/>
      <c r="H19" s="234" t="s">
        <v>65</v>
      </c>
      <c r="I19" s="235"/>
      <c r="J19" s="235"/>
      <c r="K19" s="235"/>
      <c r="L19" s="235"/>
      <c r="M19" s="235"/>
      <c r="N19" s="236"/>
      <c r="O19" s="18"/>
      <c r="P19" s="15"/>
      <c r="Q19" s="15"/>
      <c r="R19" s="15"/>
      <c r="S19" s="15"/>
      <c r="T19" s="16"/>
      <c r="U19" s="16"/>
      <c r="V19" s="16"/>
      <c r="W19" s="16"/>
      <c r="X19" s="16"/>
      <c r="Y19" s="16"/>
      <c r="Z19" s="16"/>
      <c r="AA19" s="15"/>
      <c r="AB19" s="17"/>
      <c r="AC19" s="57"/>
      <c r="AK19" s="56"/>
    </row>
    <row r="20" spans="1:37" x14ac:dyDescent="0.25">
      <c r="A20" s="213"/>
      <c r="B20" s="19" t="s">
        <v>52</v>
      </c>
      <c r="C20" s="20"/>
      <c r="D20" s="20"/>
      <c r="E20" s="20"/>
      <c r="F20" s="20" t="s">
        <v>137</v>
      </c>
      <c r="G20" s="21"/>
      <c r="H20" s="237"/>
      <c r="I20" s="235"/>
      <c r="J20" s="235"/>
      <c r="K20" s="235"/>
      <c r="L20" s="235"/>
      <c r="M20" s="235"/>
      <c r="N20" s="236"/>
      <c r="O20" s="18"/>
      <c r="P20" s="15"/>
      <c r="Q20" s="15"/>
      <c r="R20" s="15"/>
      <c r="S20" s="15"/>
      <c r="T20" s="16"/>
      <c r="U20" s="16"/>
      <c r="V20" s="16"/>
      <c r="W20" s="16"/>
      <c r="X20" s="16"/>
      <c r="Y20" s="16"/>
      <c r="Z20" s="16"/>
      <c r="AA20" s="15"/>
      <c r="AB20" s="17"/>
      <c r="AC20" s="57"/>
      <c r="AK20" s="56"/>
    </row>
    <row r="21" spans="1:37" x14ac:dyDescent="0.25">
      <c r="A21" s="213"/>
      <c r="B21" s="19" t="s">
        <v>53</v>
      </c>
      <c r="C21" s="20" t="s">
        <v>136</v>
      </c>
      <c r="D21" s="20"/>
      <c r="E21" s="20"/>
      <c r="F21" s="20"/>
      <c r="G21" s="21"/>
      <c r="H21" s="237"/>
      <c r="I21" s="235"/>
      <c r="J21" s="235"/>
      <c r="K21" s="235"/>
      <c r="L21" s="235"/>
      <c r="M21" s="235"/>
      <c r="N21" s="236"/>
      <c r="O21" s="18"/>
      <c r="P21" s="15"/>
      <c r="Q21" s="15"/>
      <c r="R21" s="15"/>
      <c r="S21" s="15"/>
      <c r="T21" s="16"/>
      <c r="U21" s="16"/>
      <c r="V21" s="16"/>
      <c r="W21" s="16"/>
      <c r="X21" s="16"/>
      <c r="Y21" s="16"/>
      <c r="Z21" s="16"/>
      <c r="AA21" s="15"/>
      <c r="AB21" s="17"/>
      <c r="AC21" s="57"/>
      <c r="AK21" s="56"/>
    </row>
    <row r="22" spans="1:37" ht="15.75" thickBot="1" x14ac:dyDescent="0.3">
      <c r="A22" s="214"/>
      <c r="B22" s="22" t="s">
        <v>54</v>
      </c>
      <c r="C22" s="23" t="s">
        <v>136</v>
      </c>
      <c r="D22" s="23"/>
      <c r="E22" s="23"/>
      <c r="F22" s="23"/>
      <c r="G22" s="24"/>
      <c r="H22" s="238"/>
      <c r="I22" s="239"/>
      <c r="J22" s="239"/>
      <c r="K22" s="239"/>
      <c r="L22" s="239"/>
      <c r="M22" s="239"/>
      <c r="N22" s="240"/>
      <c r="O22" s="18"/>
      <c r="P22" s="15"/>
      <c r="Q22" s="15"/>
      <c r="R22" s="15"/>
      <c r="S22" s="15"/>
      <c r="T22" s="16"/>
      <c r="U22" s="16"/>
      <c r="V22" s="16"/>
      <c r="W22" s="16"/>
      <c r="X22" s="16"/>
      <c r="Y22" s="16"/>
      <c r="Z22" s="16"/>
      <c r="AA22" s="15"/>
      <c r="AB22" s="17"/>
      <c r="AC22" s="57"/>
      <c r="AK22" s="56"/>
    </row>
    <row r="23" spans="1:37" ht="16.5" thickBot="1" x14ac:dyDescent="0.3">
      <c r="A23" s="226" t="s">
        <v>114</v>
      </c>
      <c r="B23" s="227"/>
      <c r="C23" s="227"/>
      <c r="D23" s="227"/>
      <c r="E23" s="227"/>
      <c r="F23" s="227"/>
      <c r="G23" s="227"/>
      <c r="H23" s="227"/>
      <c r="I23" s="227"/>
      <c r="J23" s="227"/>
      <c r="K23" s="227"/>
      <c r="L23" s="227"/>
      <c r="M23" s="227"/>
      <c r="N23" s="227"/>
      <c r="O23" s="227"/>
      <c r="P23" s="227"/>
      <c r="Q23" s="227"/>
      <c r="R23" s="227"/>
      <c r="S23" s="227"/>
      <c r="T23" s="227"/>
      <c r="U23" s="227"/>
      <c r="V23" s="227"/>
      <c r="W23" s="227"/>
      <c r="X23" s="227"/>
      <c r="Y23" s="227"/>
      <c r="Z23" s="227"/>
      <c r="AA23" s="227"/>
      <c r="AB23" s="227"/>
      <c r="AC23" s="227"/>
      <c r="AD23" s="227"/>
      <c r="AE23" s="227"/>
      <c r="AF23" s="227"/>
      <c r="AG23" s="227"/>
      <c r="AH23" s="227"/>
      <c r="AI23" s="227"/>
      <c r="AJ23" s="227"/>
      <c r="AK23" s="233"/>
    </row>
    <row r="24" spans="1:37" x14ac:dyDescent="0.25">
      <c r="A24" s="218" t="s">
        <v>55</v>
      </c>
      <c r="B24" s="162" t="s">
        <v>42</v>
      </c>
      <c r="C24" s="163">
        <v>1000</v>
      </c>
      <c r="D24" s="163">
        <v>2000</v>
      </c>
      <c r="E24" s="163">
        <v>3000</v>
      </c>
      <c r="F24" s="163">
        <v>3000</v>
      </c>
      <c r="G24" s="163">
        <v>3000</v>
      </c>
      <c r="H24" s="163">
        <v>3000</v>
      </c>
      <c r="I24" s="163">
        <v>3000</v>
      </c>
      <c r="J24" s="163">
        <v>3000</v>
      </c>
      <c r="K24" s="163">
        <v>3000</v>
      </c>
      <c r="L24" s="163">
        <v>3000</v>
      </c>
      <c r="M24" s="163">
        <v>3000</v>
      </c>
      <c r="N24" s="177">
        <f>SUM(C24:M24)</f>
        <v>30000</v>
      </c>
      <c r="O24" s="204"/>
      <c r="P24" s="204"/>
      <c r="Q24" s="204"/>
      <c r="R24" s="204"/>
      <c r="S24" s="204"/>
      <c r="AA24" s="204"/>
      <c r="AB24" s="205"/>
      <c r="AC24" s="58"/>
      <c r="AD24" s="223"/>
      <c r="AE24" s="215"/>
      <c r="AF24" s="215"/>
      <c r="AG24" s="215"/>
      <c r="AH24" s="215"/>
      <c r="AI24" s="215"/>
      <c r="AJ24" s="215"/>
      <c r="AK24" s="56"/>
    </row>
    <row r="25" spans="1:37" x14ac:dyDescent="0.25">
      <c r="A25" s="218"/>
      <c r="B25" s="13" t="s">
        <v>49</v>
      </c>
      <c r="C25" s="14"/>
      <c r="D25" s="14"/>
      <c r="E25" s="14"/>
      <c r="F25" s="14"/>
      <c r="G25" s="14"/>
      <c r="H25" s="14">
        <v>200</v>
      </c>
      <c r="I25" s="14">
        <v>200</v>
      </c>
      <c r="J25" s="14">
        <v>200</v>
      </c>
      <c r="K25" s="14">
        <v>200</v>
      </c>
      <c r="L25" s="14">
        <v>200</v>
      </c>
      <c r="M25" s="14">
        <v>200</v>
      </c>
      <c r="N25" s="97">
        <f t="shared" ref="N25:N31" si="26">SUM(C25:M25)</f>
        <v>1200</v>
      </c>
      <c r="O25" s="204"/>
      <c r="P25" s="204"/>
      <c r="Q25" s="204"/>
      <c r="R25" s="204"/>
      <c r="S25" s="204"/>
      <c r="AA25" s="204"/>
      <c r="AB25" s="205"/>
      <c r="AC25" s="58"/>
      <c r="AD25" s="223"/>
      <c r="AE25" s="215"/>
      <c r="AF25" s="215"/>
      <c r="AG25" s="215"/>
      <c r="AH25" s="215"/>
      <c r="AI25" s="215"/>
      <c r="AJ25" s="215"/>
      <c r="AK25" s="56"/>
    </row>
    <row r="26" spans="1:37" x14ac:dyDescent="0.25">
      <c r="A26" s="218"/>
      <c r="B26" s="13" t="s">
        <v>50</v>
      </c>
      <c r="C26" s="14"/>
      <c r="D26" s="14"/>
      <c r="E26" s="14"/>
      <c r="F26" s="14"/>
      <c r="G26" s="14"/>
      <c r="H26" s="14">
        <v>0</v>
      </c>
      <c r="I26" s="14">
        <v>0</v>
      </c>
      <c r="J26" s="14">
        <v>0</v>
      </c>
      <c r="K26" s="14">
        <v>0</v>
      </c>
      <c r="L26" s="14">
        <v>0</v>
      </c>
      <c r="M26" s="14">
        <v>0</v>
      </c>
      <c r="N26" s="97">
        <f t="shared" si="26"/>
        <v>0</v>
      </c>
      <c r="O26" s="204"/>
      <c r="P26" s="204"/>
      <c r="Q26" s="204"/>
      <c r="R26" s="204"/>
      <c r="S26" s="204"/>
      <c r="AA26" s="204"/>
      <c r="AB26" s="205"/>
      <c r="AC26" s="58"/>
      <c r="AD26" s="223"/>
      <c r="AE26" s="215"/>
      <c r="AF26" s="215"/>
      <c r="AG26" s="215"/>
      <c r="AH26" s="215"/>
      <c r="AI26" s="215"/>
      <c r="AJ26" s="215"/>
      <c r="AK26" s="56"/>
    </row>
    <row r="27" spans="1:37" x14ac:dyDescent="0.25">
      <c r="A27" s="218"/>
      <c r="B27" s="158" t="s">
        <v>41</v>
      </c>
      <c r="C27" s="159"/>
      <c r="D27" s="159"/>
      <c r="E27" s="159"/>
      <c r="F27" s="159"/>
      <c r="G27" s="159"/>
      <c r="H27" s="159">
        <v>1000</v>
      </c>
      <c r="I27" s="159">
        <v>1000</v>
      </c>
      <c r="J27" s="159">
        <v>1000</v>
      </c>
      <c r="K27" s="160">
        <v>1000</v>
      </c>
      <c r="L27" s="161">
        <v>1000</v>
      </c>
      <c r="M27" s="161">
        <v>1000</v>
      </c>
      <c r="N27" s="97">
        <f t="shared" si="26"/>
        <v>6000</v>
      </c>
      <c r="O27" s="204"/>
      <c r="P27" s="204"/>
      <c r="Q27" s="204"/>
      <c r="R27" s="204"/>
      <c r="S27" s="204"/>
      <c r="AA27" s="204"/>
      <c r="AB27" s="205"/>
      <c r="AC27" s="58"/>
      <c r="AD27" s="223"/>
      <c r="AE27" s="215"/>
      <c r="AF27" s="215"/>
      <c r="AG27" s="215"/>
      <c r="AH27" s="215"/>
      <c r="AI27" s="215"/>
      <c r="AJ27" s="215"/>
      <c r="AK27" s="56"/>
    </row>
    <row r="28" spans="1:37" x14ac:dyDescent="0.25">
      <c r="A28" s="219"/>
      <c r="B28" s="13" t="s">
        <v>95</v>
      </c>
      <c r="C28" s="216" t="s">
        <v>116</v>
      </c>
      <c r="D28" s="217"/>
      <c r="E28" s="217"/>
      <c r="F28" s="217"/>
      <c r="G28" s="217"/>
      <c r="H28" s="217"/>
      <c r="I28" s="217"/>
      <c r="J28" s="217"/>
      <c r="K28" s="217"/>
      <c r="L28" s="217"/>
      <c r="M28" s="14">
        <v>50000</v>
      </c>
      <c r="N28" s="166">
        <f t="shared" si="26"/>
        <v>50000</v>
      </c>
      <c r="O28" s="223" t="s">
        <v>122</v>
      </c>
      <c r="P28" s="215"/>
      <c r="Q28" s="215"/>
      <c r="R28" s="215"/>
      <c r="S28" s="215"/>
      <c r="T28" s="215"/>
      <c r="U28" s="215"/>
      <c r="W28" s="211"/>
      <c r="X28" s="211"/>
      <c r="Y28" s="211"/>
      <c r="Z28" s="211"/>
      <c r="AA28" s="211"/>
      <c r="AB28" s="211"/>
      <c r="AC28" s="56"/>
      <c r="AD28" s="223"/>
      <c r="AE28" s="215"/>
      <c r="AF28" s="215"/>
      <c r="AG28" s="215"/>
      <c r="AH28" s="215"/>
      <c r="AI28" s="215"/>
      <c r="AJ28" s="215"/>
      <c r="AK28" s="56"/>
    </row>
    <row r="29" spans="1:37" x14ac:dyDescent="0.25">
      <c r="A29" s="219"/>
      <c r="B29" s="162" t="s">
        <v>117</v>
      </c>
      <c r="C29" s="163">
        <v>15000</v>
      </c>
      <c r="D29" s="163"/>
      <c r="E29" s="163"/>
      <c r="F29" s="163"/>
      <c r="G29" s="163"/>
      <c r="H29" s="163"/>
      <c r="I29" s="163"/>
      <c r="J29" s="163"/>
      <c r="K29" s="164"/>
      <c r="L29" s="165"/>
      <c r="M29" s="165"/>
      <c r="N29" s="167">
        <f t="shared" si="26"/>
        <v>15000</v>
      </c>
      <c r="O29" s="223" t="s">
        <v>123</v>
      </c>
      <c r="P29" s="215"/>
      <c r="Q29" s="215"/>
      <c r="R29" s="215"/>
      <c r="S29" s="215"/>
      <c r="T29" s="215"/>
      <c r="U29" s="215"/>
      <c r="AD29" s="223"/>
      <c r="AE29" s="215"/>
      <c r="AF29" s="215"/>
      <c r="AG29" s="215"/>
      <c r="AH29" s="215"/>
      <c r="AI29" s="215"/>
      <c r="AJ29" s="215"/>
      <c r="AK29" s="56"/>
    </row>
    <row r="30" spans="1:37" x14ac:dyDescent="0.25">
      <c r="A30" s="219"/>
      <c r="B30" s="13" t="s">
        <v>118</v>
      </c>
      <c r="C30" s="14">
        <v>12000</v>
      </c>
      <c r="D30" s="14"/>
      <c r="E30" s="14"/>
      <c r="F30" s="14"/>
      <c r="G30" s="14"/>
      <c r="H30" s="14"/>
      <c r="I30" s="14"/>
      <c r="J30" s="14"/>
      <c r="K30" s="101"/>
      <c r="L30" s="88"/>
      <c r="M30" s="88"/>
      <c r="N30" s="167">
        <f t="shared" si="26"/>
        <v>12000</v>
      </c>
      <c r="O30" s="223" t="s">
        <v>121</v>
      </c>
      <c r="P30" s="215"/>
      <c r="Q30" s="215"/>
      <c r="R30" s="215"/>
      <c r="S30" s="215"/>
      <c r="T30" s="215"/>
      <c r="U30" s="215"/>
      <c r="AD30" s="223"/>
      <c r="AE30" s="215"/>
      <c r="AF30" s="215"/>
      <c r="AG30" s="215"/>
      <c r="AH30" s="215"/>
      <c r="AI30" s="215"/>
      <c r="AJ30" s="215"/>
      <c r="AK30" s="56"/>
    </row>
    <row r="31" spans="1:37" x14ac:dyDescent="0.25">
      <c r="A31" s="219"/>
      <c r="B31" s="13" t="s">
        <v>119</v>
      </c>
      <c r="C31" s="14"/>
      <c r="D31" s="14"/>
      <c r="E31" s="14"/>
      <c r="F31" s="14"/>
      <c r="G31" s="14"/>
      <c r="H31" s="14"/>
      <c r="I31" s="14"/>
      <c r="J31" s="14"/>
      <c r="K31" s="101"/>
      <c r="L31" s="88"/>
      <c r="M31" s="88"/>
      <c r="N31" s="167">
        <f t="shared" si="26"/>
        <v>0</v>
      </c>
      <c r="O31" s="223" t="s">
        <v>138</v>
      </c>
      <c r="P31" s="215"/>
      <c r="Q31" s="215"/>
      <c r="R31" s="215"/>
      <c r="S31" s="215"/>
      <c r="T31" s="215"/>
      <c r="U31" s="215"/>
      <c r="AD31" s="223"/>
      <c r="AE31" s="215"/>
      <c r="AF31" s="215"/>
      <c r="AG31" s="215"/>
      <c r="AH31" s="215"/>
      <c r="AI31" s="215"/>
      <c r="AJ31" s="215"/>
      <c r="AK31" s="56"/>
    </row>
    <row r="32" spans="1:37" ht="15.75" thickBot="1" x14ac:dyDescent="0.3">
      <c r="A32" s="219"/>
      <c r="B32" s="136" t="s">
        <v>120</v>
      </c>
      <c r="C32" s="220"/>
      <c r="D32" s="221"/>
      <c r="E32" s="221"/>
      <c r="F32" s="221"/>
      <c r="G32" s="221"/>
      <c r="H32" s="221"/>
      <c r="I32" s="221"/>
      <c r="J32" s="221"/>
      <c r="K32" s="221"/>
      <c r="L32" s="221"/>
      <c r="M32" s="222"/>
      <c r="N32" s="176">
        <f>SUM(N24:N31)</f>
        <v>114200</v>
      </c>
      <c r="AD32" s="223"/>
      <c r="AE32" s="215"/>
      <c r="AF32" s="215"/>
      <c r="AG32" s="215"/>
      <c r="AH32" s="215"/>
      <c r="AI32" s="215"/>
      <c r="AJ32" s="215"/>
      <c r="AK32" s="56"/>
    </row>
    <row r="33" spans="1:37" ht="16.5" thickBot="1" x14ac:dyDescent="0.3">
      <c r="A33" s="226" t="s">
        <v>115</v>
      </c>
      <c r="B33" s="227"/>
      <c r="C33" s="227"/>
      <c r="D33" s="227"/>
      <c r="E33" s="227"/>
      <c r="F33" s="227"/>
      <c r="G33" s="227"/>
      <c r="H33" s="227"/>
      <c r="I33" s="227"/>
      <c r="J33" s="227"/>
      <c r="K33" s="227"/>
      <c r="L33" s="227"/>
      <c r="M33" s="227"/>
      <c r="N33" s="227"/>
      <c r="O33" s="227"/>
      <c r="P33" s="227"/>
      <c r="Q33" s="227"/>
      <c r="R33" s="227"/>
      <c r="S33" s="227"/>
      <c r="T33" s="227"/>
      <c r="U33" s="227"/>
      <c r="V33" s="227"/>
      <c r="W33" s="227"/>
      <c r="X33" s="227"/>
      <c r="Y33" s="227"/>
      <c r="Z33" s="227"/>
      <c r="AA33" s="227"/>
      <c r="AB33" s="227"/>
      <c r="AC33" s="227"/>
      <c r="AD33" s="227"/>
      <c r="AE33" s="227"/>
      <c r="AF33" s="227"/>
      <c r="AG33" s="227"/>
      <c r="AH33" s="227"/>
      <c r="AI33" s="227"/>
      <c r="AJ33" s="227"/>
      <c r="AK33" s="233"/>
    </row>
    <row r="34" spans="1:37" x14ac:dyDescent="0.25">
      <c r="A34" s="157"/>
      <c r="B34" s="246" t="s">
        <v>124</v>
      </c>
      <c r="C34" s="215"/>
      <c r="D34" s="215"/>
      <c r="E34" s="215"/>
      <c r="F34" s="215"/>
      <c r="G34" s="215"/>
      <c r="H34" s="215"/>
      <c r="I34" s="215"/>
      <c r="J34" s="215"/>
      <c r="K34" s="215"/>
      <c r="L34" s="215"/>
      <c r="M34" s="215"/>
      <c r="O34" t="s">
        <v>30</v>
      </c>
      <c r="P34" t="s">
        <v>29</v>
      </c>
      <c r="Q34" t="s">
        <v>28</v>
      </c>
      <c r="R34" t="s">
        <v>27</v>
      </c>
      <c r="S34" t="s">
        <v>26</v>
      </c>
      <c r="T34" t="s">
        <v>25</v>
      </c>
      <c r="U34" t="s">
        <v>24</v>
      </c>
      <c r="V34" t="s">
        <v>34</v>
      </c>
      <c r="W34" s="215" t="s">
        <v>23</v>
      </c>
      <c r="X34" s="215"/>
      <c r="Y34" s="215"/>
      <c r="Z34" s="215"/>
      <c r="AA34" s="215"/>
      <c r="AB34" s="215"/>
      <c r="AC34" s="56"/>
      <c r="AD34" s="223"/>
      <c r="AE34" s="215"/>
      <c r="AF34" s="215"/>
      <c r="AG34" s="215"/>
      <c r="AH34" s="215"/>
      <c r="AI34" s="215"/>
      <c r="AJ34" s="215"/>
      <c r="AK34" s="56"/>
    </row>
    <row r="35" spans="1:37" ht="15.75" thickBot="1" x14ac:dyDescent="0.3">
      <c r="A35" s="55"/>
      <c r="B35" s="247"/>
      <c r="C35" s="247"/>
      <c r="D35" s="247"/>
      <c r="E35" s="247"/>
      <c r="F35" s="247"/>
      <c r="G35" s="247"/>
      <c r="H35" s="247"/>
      <c r="I35" s="247"/>
      <c r="J35" s="247"/>
      <c r="K35" s="247"/>
      <c r="L35" s="247"/>
      <c r="M35" s="247"/>
      <c r="N35" s="114">
        <v>46419</v>
      </c>
      <c r="O35" s="206">
        <v>46447</v>
      </c>
      <c r="P35" s="206">
        <v>46478</v>
      </c>
      <c r="Q35" s="206">
        <v>46508</v>
      </c>
      <c r="R35" s="206">
        <v>46539</v>
      </c>
      <c r="S35" s="206">
        <v>46569</v>
      </c>
      <c r="T35" s="206">
        <v>46600</v>
      </c>
      <c r="U35" s="206">
        <v>46631</v>
      </c>
      <c r="V35" s="206">
        <v>46661</v>
      </c>
      <c r="W35" s="206">
        <v>46692</v>
      </c>
      <c r="X35" s="206">
        <v>46722</v>
      </c>
      <c r="Y35" s="206">
        <v>46753</v>
      </c>
      <c r="Z35" s="206">
        <v>46784</v>
      </c>
      <c r="AA35" s="206">
        <v>46813</v>
      </c>
      <c r="AB35" s="206">
        <v>46844</v>
      </c>
      <c r="AC35" s="56"/>
      <c r="AD35" s="223"/>
      <c r="AE35" s="215"/>
      <c r="AF35" s="215"/>
      <c r="AG35" s="215"/>
      <c r="AH35" s="215"/>
      <c r="AI35" s="215"/>
      <c r="AJ35" s="215"/>
      <c r="AK35" s="56"/>
    </row>
    <row r="36" spans="1:37" ht="15.75" thickBot="1" x14ac:dyDescent="0.3">
      <c r="A36" s="55"/>
      <c r="B36" s="25"/>
      <c r="C36" s="26" t="s">
        <v>12</v>
      </c>
      <c r="D36" s="26" t="s">
        <v>13</v>
      </c>
      <c r="E36" s="26" t="s">
        <v>14</v>
      </c>
      <c r="F36" s="26" t="s">
        <v>15</v>
      </c>
      <c r="G36" s="26" t="s">
        <v>4</v>
      </c>
      <c r="H36" s="26" t="s">
        <v>5</v>
      </c>
      <c r="I36" s="26" t="s">
        <v>6</v>
      </c>
      <c r="J36" s="26" t="s">
        <v>7</v>
      </c>
      <c r="K36" s="102" t="s">
        <v>8</v>
      </c>
      <c r="L36" s="89" t="s">
        <v>9</v>
      </c>
      <c r="M36" s="26" t="s">
        <v>10</v>
      </c>
      <c r="N36" s="115" t="s">
        <v>11</v>
      </c>
      <c r="O36" s="107" t="s">
        <v>12</v>
      </c>
      <c r="P36" s="39" t="s">
        <v>13</v>
      </c>
      <c r="Q36" s="26" t="s">
        <v>14</v>
      </c>
      <c r="R36" s="26" t="s">
        <v>15</v>
      </c>
      <c r="S36" s="26" t="s">
        <v>4</v>
      </c>
      <c r="T36" s="26" t="s">
        <v>5</v>
      </c>
      <c r="U36" s="26" t="s">
        <v>6</v>
      </c>
      <c r="V36" s="26" t="s">
        <v>7</v>
      </c>
      <c r="W36" s="26" t="s">
        <v>8</v>
      </c>
      <c r="X36" s="26" t="s">
        <v>9</v>
      </c>
      <c r="Y36" s="26" t="s">
        <v>10</v>
      </c>
      <c r="Z36" s="26" t="s">
        <v>11</v>
      </c>
      <c r="AA36" s="26" t="s">
        <v>12</v>
      </c>
      <c r="AB36" s="26" t="s">
        <v>13</v>
      </c>
      <c r="AC36" s="27"/>
      <c r="AD36" s="223"/>
      <c r="AE36" s="215"/>
      <c r="AF36" s="215"/>
      <c r="AG36" s="215"/>
      <c r="AH36" s="215"/>
      <c r="AI36" s="215"/>
      <c r="AJ36" s="215"/>
      <c r="AK36" s="56"/>
    </row>
    <row r="37" spans="1:37" x14ac:dyDescent="0.25">
      <c r="A37" s="55"/>
      <c r="B37" s="197" t="s">
        <v>33</v>
      </c>
      <c r="C37" s="252"/>
      <c r="D37" s="253"/>
      <c r="E37" s="253"/>
      <c r="F37" s="253"/>
      <c r="G37" s="253"/>
      <c r="H37" s="253"/>
      <c r="I37" s="253"/>
      <c r="J37" s="253"/>
      <c r="K37" s="253"/>
      <c r="L37" s="253"/>
      <c r="M37" s="254"/>
      <c r="N37" s="198"/>
      <c r="O37" s="108">
        <v>700</v>
      </c>
      <c r="P37" s="40">
        <v>800</v>
      </c>
      <c r="Q37" s="30">
        <v>700</v>
      </c>
      <c r="R37" s="30">
        <v>700</v>
      </c>
      <c r="S37" s="30">
        <v>600</v>
      </c>
      <c r="T37" s="30">
        <v>700</v>
      </c>
      <c r="U37" s="30">
        <v>900</v>
      </c>
      <c r="V37" s="30">
        <v>3000</v>
      </c>
      <c r="W37" s="30">
        <v>1000</v>
      </c>
      <c r="X37" s="30">
        <v>300</v>
      </c>
      <c r="Y37" s="30">
        <v>300</v>
      </c>
      <c r="Z37" s="30">
        <v>300</v>
      </c>
      <c r="AA37" s="30">
        <v>300</v>
      </c>
      <c r="AB37" s="30">
        <v>300</v>
      </c>
      <c r="AC37" s="31">
        <f>SUM(O37:AB37)</f>
        <v>10600</v>
      </c>
      <c r="AD37" s="223"/>
      <c r="AE37" s="215"/>
      <c r="AF37" s="215"/>
      <c r="AG37" s="215"/>
      <c r="AH37" s="215"/>
      <c r="AI37" s="215"/>
      <c r="AJ37" s="215"/>
      <c r="AK37" s="56"/>
    </row>
    <row r="38" spans="1:37" x14ac:dyDescent="0.25">
      <c r="A38" s="55">
        <v>3</v>
      </c>
      <c r="B38" s="186" t="s">
        <v>35</v>
      </c>
      <c r="C38" s="255"/>
      <c r="D38" s="215"/>
      <c r="E38" s="215"/>
      <c r="F38" s="215"/>
      <c r="G38" s="215"/>
      <c r="H38" s="215"/>
      <c r="I38" s="215"/>
      <c r="J38" s="215"/>
      <c r="K38" s="215"/>
      <c r="L38" s="215"/>
      <c r="M38" s="256"/>
      <c r="N38" s="191"/>
      <c r="O38" s="109">
        <f t="shared" ref="O38:AB38" si="27">(O37/5)*$A$38</f>
        <v>420</v>
      </c>
      <c r="P38" s="42">
        <f t="shared" si="27"/>
        <v>480</v>
      </c>
      <c r="Q38" s="28">
        <f t="shared" si="27"/>
        <v>420</v>
      </c>
      <c r="R38" s="28">
        <f t="shared" si="27"/>
        <v>420</v>
      </c>
      <c r="S38" s="28">
        <f t="shared" si="27"/>
        <v>360</v>
      </c>
      <c r="T38" s="28">
        <f t="shared" si="27"/>
        <v>420</v>
      </c>
      <c r="U38" s="28">
        <f t="shared" si="27"/>
        <v>540</v>
      </c>
      <c r="V38" s="28">
        <f t="shared" si="27"/>
        <v>1800</v>
      </c>
      <c r="W38" s="28">
        <f t="shared" si="27"/>
        <v>600</v>
      </c>
      <c r="X38" s="28">
        <f t="shared" si="27"/>
        <v>180</v>
      </c>
      <c r="Y38" s="28">
        <f t="shared" si="27"/>
        <v>180</v>
      </c>
      <c r="Z38" s="28">
        <f t="shared" si="27"/>
        <v>180</v>
      </c>
      <c r="AA38" s="28">
        <f t="shared" si="27"/>
        <v>180</v>
      </c>
      <c r="AB38" s="28">
        <f t="shared" si="27"/>
        <v>180</v>
      </c>
      <c r="AC38" s="32">
        <f>SUM(N38:AB38)</f>
        <v>6360</v>
      </c>
      <c r="AD38" s="223"/>
      <c r="AE38" s="215"/>
      <c r="AF38" s="215"/>
      <c r="AG38" s="215"/>
      <c r="AH38" s="215"/>
      <c r="AI38" s="215"/>
      <c r="AJ38" s="215"/>
      <c r="AK38" s="56"/>
    </row>
    <row r="39" spans="1:37" x14ac:dyDescent="0.25">
      <c r="A39" s="55"/>
      <c r="B39" s="186" t="s">
        <v>31</v>
      </c>
      <c r="C39" s="255"/>
      <c r="D39" s="215"/>
      <c r="E39" s="215"/>
      <c r="F39" s="215"/>
      <c r="G39" s="215"/>
      <c r="H39" s="215"/>
      <c r="I39" s="215"/>
      <c r="J39" s="215"/>
      <c r="K39" s="215"/>
      <c r="L39" s="215"/>
      <c r="M39" s="256"/>
      <c r="N39" s="191"/>
      <c r="O39" s="110"/>
      <c r="P39" s="36"/>
      <c r="Q39" s="1"/>
      <c r="R39" s="1"/>
      <c r="S39" s="1"/>
      <c r="T39" s="1"/>
      <c r="U39" s="1"/>
      <c r="V39" s="210">
        <v>4500</v>
      </c>
      <c r="W39" s="3"/>
      <c r="X39" s="1"/>
      <c r="Y39" s="1"/>
      <c r="Z39" s="1"/>
      <c r="AA39" s="1"/>
      <c r="AB39" s="210">
        <v>4500</v>
      </c>
      <c r="AC39" s="32">
        <f t="shared" ref="AC39:AC44" si="28">SUM(N39:AB39)</f>
        <v>9000</v>
      </c>
      <c r="AD39" s="223"/>
      <c r="AE39" s="215"/>
      <c r="AF39" s="215"/>
      <c r="AG39" s="215"/>
      <c r="AH39" s="215"/>
      <c r="AI39" s="215"/>
      <c r="AJ39" s="215"/>
      <c r="AK39" s="56"/>
    </row>
    <row r="40" spans="1:37" x14ac:dyDescent="0.25">
      <c r="A40" s="55"/>
      <c r="B40" s="186" t="s">
        <v>36</v>
      </c>
      <c r="C40" s="255"/>
      <c r="D40" s="215"/>
      <c r="E40" s="215"/>
      <c r="F40" s="215"/>
      <c r="G40" s="215"/>
      <c r="H40" s="215"/>
      <c r="I40" s="215"/>
      <c r="J40" s="215"/>
      <c r="K40" s="215"/>
      <c r="L40" s="215"/>
      <c r="M40" s="256"/>
      <c r="N40" s="192">
        <f>DAY(EOMONTH(N35, 0))</f>
        <v>28</v>
      </c>
      <c r="O40" s="111">
        <f t="shared" ref="O40:AB40" si="29">DAY(EOMONTH(O35, 0))</f>
        <v>31</v>
      </c>
      <c r="P40" s="43">
        <f t="shared" si="29"/>
        <v>30</v>
      </c>
      <c r="Q40" s="29">
        <f t="shared" si="29"/>
        <v>31</v>
      </c>
      <c r="R40" s="29">
        <f t="shared" si="29"/>
        <v>30</v>
      </c>
      <c r="S40" s="29">
        <f t="shared" si="29"/>
        <v>31</v>
      </c>
      <c r="T40" s="29">
        <f t="shared" si="29"/>
        <v>31</v>
      </c>
      <c r="U40" s="29">
        <f t="shared" si="29"/>
        <v>30</v>
      </c>
      <c r="V40" s="29">
        <f t="shared" si="29"/>
        <v>31</v>
      </c>
      <c r="W40" s="29">
        <f t="shared" si="29"/>
        <v>30</v>
      </c>
      <c r="X40" s="29">
        <f t="shared" si="29"/>
        <v>31</v>
      </c>
      <c r="Y40" s="29">
        <f t="shared" si="29"/>
        <v>31</v>
      </c>
      <c r="Z40" s="29">
        <f t="shared" si="29"/>
        <v>29</v>
      </c>
      <c r="AA40" s="29">
        <f t="shared" si="29"/>
        <v>31</v>
      </c>
      <c r="AB40" s="29">
        <f t="shared" si="29"/>
        <v>30</v>
      </c>
      <c r="AC40" s="32">
        <f t="shared" si="28"/>
        <v>455</v>
      </c>
      <c r="AD40" s="223"/>
      <c r="AE40" s="215"/>
      <c r="AF40" s="215"/>
      <c r="AG40" s="215"/>
      <c r="AH40" s="215"/>
      <c r="AI40" s="215"/>
      <c r="AJ40" s="215"/>
      <c r="AK40" s="56"/>
    </row>
    <row r="41" spans="1:37" x14ac:dyDescent="0.25">
      <c r="A41" s="59">
        <v>50</v>
      </c>
      <c r="B41" s="186" t="s">
        <v>37</v>
      </c>
      <c r="C41" s="255"/>
      <c r="D41" s="215"/>
      <c r="E41" s="215"/>
      <c r="F41" s="215"/>
      <c r="G41" s="215"/>
      <c r="H41" s="215"/>
      <c r="I41" s="215"/>
      <c r="J41" s="215"/>
      <c r="K41" s="215"/>
      <c r="L41" s="215"/>
      <c r="M41" s="256"/>
      <c r="N41" s="193">
        <f>N40*$A$41</f>
        <v>1400</v>
      </c>
      <c r="O41" s="112">
        <f t="shared" ref="O41:AB41" si="30">O40*$A$41</f>
        <v>1550</v>
      </c>
      <c r="P41" s="44">
        <f t="shared" si="30"/>
        <v>1500</v>
      </c>
      <c r="Q41" s="3">
        <f t="shared" si="30"/>
        <v>1550</v>
      </c>
      <c r="R41" s="3">
        <f t="shared" si="30"/>
        <v>1500</v>
      </c>
      <c r="S41" s="3">
        <f t="shared" si="30"/>
        <v>1550</v>
      </c>
      <c r="T41" s="3">
        <f t="shared" si="30"/>
        <v>1550</v>
      </c>
      <c r="U41" s="3">
        <f t="shared" si="30"/>
        <v>1500</v>
      </c>
      <c r="V41" s="3">
        <f t="shared" si="30"/>
        <v>1550</v>
      </c>
      <c r="W41" s="3">
        <f t="shared" si="30"/>
        <v>1500</v>
      </c>
      <c r="X41" s="3">
        <f t="shared" si="30"/>
        <v>1550</v>
      </c>
      <c r="Y41" s="3">
        <f t="shared" si="30"/>
        <v>1550</v>
      </c>
      <c r="Z41" s="3">
        <f t="shared" si="30"/>
        <v>1450</v>
      </c>
      <c r="AA41" s="3">
        <f t="shared" si="30"/>
        <v>1550</v>
      </c>
      <c r="AB41" s="3">
        <f t="shared" si="30"/>
        <v>1500</v>
      </c>
      <c r="AC41" s="32">
        <f t="shared" si="28"/>
        <v>22750</v>
      </c>
      <c r="AD41" s="223"/>
      <c r="AE41" s="215"/>
      <c r="AF41" s="215"/>
      <c r="AG41" s="215"/>
      <c r="AH41" s="215"/>
      <c r="AI41" s="215"/>
      <c r="AJ41" s="215"/>
      <c r="AK41" s="56"/>
    </row>
    <row r="42" spans="1:37" x14ac:dyDescent="0.25">
      <c r="A42" s="59">
        <v>50</v>
      </c>
      <c r="B42" s="186" t="s">
        <v>32</v>
      </c>
      <c r="C42" s="255"/>
      <c r="D42" s="215"/>
      <c r="E42" s="215"/>
      <c r="F42" s="215"/>
      <c r="G42" s="215"/>
      <c r="H42" s="215"/>
      <c r="I42" s="215"/>
      <c r="J42" s="215"/>
      <c r="K42" s="215"/>
      <c r="L42" s="215"/>
      <c r="M42" s="256"/>
      <c r="N42" s="193">
        <f>N40*$A$42</f>
        <v>1400</v>
      </c>
      <c r="O42" s="112">
        <f t="shared" ref="O42:AB42" si="31">O40*$A$42</f>
        <v>1550</v>
      </c>
      <c r="P42" s="44">
        <f t="shared" si="31"/>
        <v>1500</v>
      </c>
      <c r="Q42" s="3">
        <f t="shared" si="31"/>
        <v>1550</v>
      </c>
      <c r="R42" s="3">
        <f t="shared" si="31"/>
        <v>1500</v>
      </c>
      <c r="S42" s="3">
        <f t="shared" si="31"/>
        <v>1550</v>
      </c>
      <c r="T42" s="3">
        <f t="shared" si="31"/>
        <v>1550</v>
      </c>
      <c r="U42" s="3">
        <f t="shared" si="31"/>
        <v>1500</v>
      </c>
      <c r="V42" s="3">
        <f t="shared" si="31"/>
        <v>1550</v>
      </c>
      <c r="W42" s="3">
        <f t="shared" si="31"/>
        <v>1500</v>
      </c>
      <c r="X42" s="3">
        <f t="shared" si="31"/>
        <v>1550</v>
      </c>
      <c r="Y42" s="3">
        <f t="shared" si="31"/>
        <v>1550</v>
      </c>
      <c r="Z42" s="3">
        <f t="shared" si="31"/>
        <v>1450</v>
      </c>
      <c r="AA42" s="3">
        <f t="shared" si="31"/>
        <v>1550</v>
      </c>
      <c r="AB42" s="3">
        <f t="shared" si="31"/>
        <v>1500</v>
      </c>
      <c r="AC42" s="32">
        <f t="shared" si="28"/>
        <v>22750</v>
      </c>
      <c r="AD42" s="223"/>
      <c r="AE42" s="215"/>
      <c r="AF42" s="215"/>
      <c r="AG42" s="215"/>
      <c r="AH42" s="215"/>
      <c r="AI42" s="215"/>
      <c r="AJ42" s="215"/>
      <c r="AK42" s="56"/>
    </row>
    <row r="43" spans="1:37" x14ac:dyDescent="0.25">
      <c r="A43" s="55"/>
      <c r="B43" s="186" t="s">
        <v>39</v>
      </c>
      <c r="C43" s="255"/>
      <c r="D43" s="215"/>
      <c r="E43" s="215"/>
      <c r="F43" s="215"/>
      <c r="G43" s="215"/>
      <c r="H43" s="215"/>
      <c r="I43" s="215"/>
      <c r="J43" s="215"/>
      <c r="K43" s="215"/>
      <c r="L43" s="215"/>
      <c r="M43" s="256"/>
      <c r="N43" s="191"/>
      <c r="O43" s="110"/>
      <c r="P43" s="36"/>
      <c r="Q43" s="1"/>
      <c r="R43" s="1"/>
      <c r="S43" s="1"/>
      <c r="T43" s="1"/>
      <c r="U43" s="1"/>
      <c r="V43" s="1"/>
      <c r="W43" s="1">
        <v>1500</v>
      </c>
      <c r="X43" s="1"/>
      <c r="Y43" s="1"/>
      <c r="Z43" s="1"/>
      <c r="AA43" s="1"/>
      <c r="AB43" s="1"/>
      <c r="AC43" s="32">
        <f t="shared" si="28"/>
        <v>1500</v>
      </c>
      <c r="AD43" s="223"/>
      <c r="AE43" s="215"/>
      <c r="AF43" s="215"/>
      <c r="AG43" s="215"/>
      <c r="AH43" s="215"/>
      <c r="AI43" s="215"/>
      <c r="AJ43" s="215"/>
      <c r="AK43" s="56"/>
    </row>
    <row r="44" spans="1:37" ht="15.75" thickBot="1" x14ac:dyDescent="0.3">
      <c r="A44" s="55"/>
      <c r="B44" s="187" t="s">
        <v>40</v>
      </c>
      <c r="C44" s="255"/>
      <c r="D44" s="215"/>
      <c r="E44" s="215"/>
      <c r="F44" s="215"/>
      <c r="G44" s="215"/>
      <c r="H44" s="215"/>
      <c r="I44" s="215"/>
      <c r="J44" s="215"/>
      <c r="K44" s="215"/>
      <c r="L44" s="215"/>
      <c r="M44" s="256"/>
      <c r="N44" s="194"/>
      <c r="O44" s="113"/>
      <c r="P44" s="37"/>
      <c r="Q44" s="33"/>
      <c r="R44" s="33"/>
      <c r="S44" s="33"/>
      <c r="T44" s="33"/>
      <c r="U44" s="33"/>
      <c r="V44" s="33"/>
      <c r="W44" s="33">
        <v>2400</v>
      </c>
      <c r="X44" s="33"/>
      <c r="Y44" s="33"/>
      <c r="Z44" s="33"/>
      <c r="AA44" s="33"/>
      <c r="AB44" s="33"/>
      <c r="AC44" s="182">
        <f t="shared" si="28"/>
        <v>2400</v>
      </c>
      <c r="AD44" s="215"/>
      <c r="AE44" s="215"/>
      <c r="AF44" s="215"/>
      <c r="AG44" s="215"/>
      <c r="AH44" s="215"/>
      <c r="AI44" s="215"/>
      <c r="AJ44" s="215"/>
      <c r="AK44" s="56"/>
    </row>
    <row r="45" spans="1:37" ht="16.5" thickBot="1" x14ac:dyDescent="0.3">
      <c r="A45" s="55"/>
      <c r="B45" s="188" t="s">
        <v>128</v>
      </c>
      <c r="C45" s="255"/>
      <c r="D45" s="215"/>
      <c r="E45" s="215"/>
      <c r="F45" s="215"/>
      <c r="G45" s="215"/>
      <c r="H45" s="215"/>
      <c r="I45" s="215"/>
      <c r="J45" s="215"/>
      <c r="K45" s="215"/>
      <c r="L45" s="215"/>
      <c r="M45" s="256"/>
      <c r="N45" s="195">
        <f>SUM(N38:N44)</f>
        <v>2828</v>
      </c>
      <c r="O45" s="170">
        <f t="shared" ref="O45:AB45" si="32">SUM(O38:O44)</f>
        <v>3551</v>
      </c>
      <c r="P45" s="171">
        <f t="shared" si="32"/>
        <v>3510</v>
      </c>
      <c r="Q45" s="172">
        <f t="shared" si="32"/>
        <v>3551</v>
      </c>
      <c r="R45" s="172">
        <f t="shared" si="32"/>
        <v>3450</v>
      </c>
      <c r="S45" s="172">
        <f t="shared" si="32"/>
        <v>3491</v>
      </c>
      <c r="T45" s="172">
        <f t="shared" si="32"/>
        <v>3551</v>
      </c>
      <c r="U45" s="172">
        <f t="shared" si="32"/>
        <v>3570</v>
      </c>
      <c r="V45" s="172">
        <f t="shared" si="32"/>
        <v>9431</v>
      </c>
      <c r="W45" s="172">
        <f t="shared" si="32"/>
        <v>7530</v>
      </c>
      <c r="X45" s="172">
        <f t="shared" si="32"/>
        <v>3311</v>
      </c>
      <c r="Y45" s="172">
        <f t="shared" si="32"/>
        <v>3311</v>
      </c>
      <c r="Z45" s="172">
        <f t="shared" si="32"/>
        <v>3109</v>
      </c>
      <c r="AA45" s="172">
        <f t="shared" si="32"/>
        <v>3311</v>
      </c>
      <c r="AB45" s="175">
        <f t="shared" si="32"/>
        <v>7710</v>
      </c>
      <c r="AC45" s="183">
        <f>SUM(N45:AB45)</f>
        <v>65215</v>
      </c>
      <c r="AD45" s="248"/>
      <c r="AE45" s="249"/>
      <c r="AF45" s="249"/>
      <c r="AG45" s="249"/>
      <c r="AH45" s="249"/>
      <c r="AI45" s="249"/>
      <c r="AJ45" s="249"/>
      <c r="AK45" s="250"/>
    </row>
    <row r="46" spans="1:37" ht="16.5" thickBot="1" x14ac:dyDescent="0.3">
      <c r="A46" s="55"/>
      <c r="B46" s="189" t="s">
        <v>38</v>
      </c>
      <c r="C46" s="255"/>
      <c r="D46" s="215"/>
      <c r="E46" s="215"/>
      <c r="F46" s="215"/>
      <c r="G46" s="215"/>
      <c r="H46" s="215"/>
      <c r="I46" s="215"/>
      <c r="J46" s="215"/>
      <c r="K46" s="215"/>
      <c r="L46" s="215"/>
      <c r="M46" s="256"/>
      <c r="N46" s="168">
        <f>N17</f>
        <v>1611.0604166666667</v>
      </c>
      <c r="O46" s="169">
        <f t="shared" ref="O46:AB46" si="33">O17</f>
        <v>1611.0604166666667</v>
      </c>
      <c r="P46" s="169">
        <f t="shared" si="33"/>
        <v>1611.0604166666667</v>
      </c>
      <c r="Q46" s="169">
        <f t="shared" si="33"/>
        <v>1611.0604166666667</v>
      </c>
      <c r="R46" s="169">
        <f t="shared" si="33"/>
        <v>1611.0604166666667</v>
      </c>
      <c r="S46" s="169">
        <f t="shared" si="33"/>
        <v>1611.0604166666667</v>
      </c>
      <c r="T46" s="169">
        <f t="shared" si="33"/>
        <v>1611.0604166666667</v>
      </c>
      <c r="U46" s="169">
        <f t="shared" si="33"/>
        <v>1611.0604166666667</v>
      </c>
      <c r="V46" s="169">
        <f t="shared" si="33"/>
        <v>1611.0604166666667</v>
      </c>
      <c r="W46" s="169">
        <f t="shared" si="33"/>
        <v>1611.0604166666667</v>
      </c>
      <c r="X46" s="169">
        <f t="shared" si="33"/>
        <v>1611.0604166666667</v>
      </c>
      <c r="Y46" s="169">
        <f t="shared" si="33"/>
        <v>1611.0604166666667</v>
      </c>
      <c r="Z46" s="169">
        <f t="shared" si="33"/>
        <v>1611.0604166666667</v>
      </c>
      <c r="AA46" s="169">
        <f t="shared" si="33"/>
        <v>1611.0604166666667</v>
      </c>
      <c r="AB46" s="169">
        <f t="shared" si="33"/>
        <v>1611.0604166666667</v>
      </c>
      <c r="AC46" s="184">
        <f>SUM(N46:AB46)</f>
        <v>24165.906250000004</v>
      </c>
      <c r="AD46" s="223" t="s">
        <v>125</v>
      </c>
      <c r="AE46" s="215"/>
      <c r="AF46" s="215"/>
      <c r="AG46" s="215"/>
      <c r="AH46" s="215"/>
      <c r="AI46" s="215"/>
      <c r="AJ46" s="215"/>
      <c r="AK46" s="56"/>
    </row>
    <row r="47" spans="1:37" ht="16.5" thickBot="1" x14ac:dyDescent="0.3">
      <c r="A47" s="55"/>
      <c r="B47" s="190" t="s">
        <v>129</v>
      </c>
      <c r="C47" s="257"/>
      <c r="D47" s="247"/>
      <c r="E47" s="247"/>
      <c r="F47" s="247"/>
      <c r="G47" s="247"/>
      <c r="H47" s="247"/>
      <c r="I47" s="247"/>
      <c r="J47" s="247"/>
      <c r="K47" s="247"/>
      <c r="L47" s="247"/>
      <c r="M47" s="258"/>
      <c r="N47" s="196">
        <f>N45-N46</f>
        <v>1216.9395833333333</v>
      </c>
      <c r="O47" s="179">
        <f t="shared" ref="O47:AB47" si="34">O45-O46</f>
        <v>1939.9395833333333</v>
      </c>
      <c r="P47" s="180">
        <f t="shared" si="34"/>
        <v>1898.9395833333333</v>
      </c>
      <c r="Q47" s="181">
        <f t="shared" si="34"/>
        <v>1939.9395833333333</v>
      </c>
      <c r="R47" s="181">
        <f t="shared" si="34"/>
        <v>1838.9395833333333</v>
      </c>
      <c r="S47" s="181">
        <f t="shared" si="34"/>
        <v>1879.9395833333333</v>
      </c>
      <c r="T47" s="181">
        <f t="shared" si="34"/>
        <v>1939.9395833333333</v>
      </c>
      <c r="U47" s="181">
        <f t="shared" si="34"/>
        <v>1958.9395833333333</v>
      </c>
      <c r="V47" s="181">
        <f t="shared" si="34"/>
        <v>7819.9395833333328</v>
      </c>
      <c r="W47" s="181">
        <f t="shared" si="34"/>
        <v>5918.9395833333328</v>
      </c>
      <c r="X47" s="181">
        <f t="shared" si="34"/>
        <v>1699.9395833333333</v>
      </c>
      <c r="Y47" s="181">
        <f t="shared" si="34"/>
        <v>1699.9395833333333</v>
      </c>
      <c r="Z47" s="181">
        <f t="shared" si="34"/>
        <v>1497.9395833333333</v>
      </c>
      <c r="AA47" s="181">
        <f t="shared" si="34"/>
        <v>1699.9395833333333</v>
      </c>
      <c r="AB47" s="181">
        <f t="shared" si="34"/>
        <v>6098.9395833333328</v>
      </c>
      <c r="AC47" s="185">
        <f>SUM(N47:AB47)</f>
        <v>41049.093749999993</v>
      </c>
      <c r="AD47" s="223" t="s">
        <v>126</v>
      </c>
      <c r="AE47" s="215"/>
      <c r="AF47" s="215"/>
      <c r="AG47" s="215"/>
      <c r="AH47" s="215"/>
      <c r="AI47" s="215"/>
      <c r="AJ47" s="215"/>
      <c r="AK47" s="56"/>
    </row>
    <row r="48" spans="1:37" ht="16.5" thickBot="1" x14ac:dyDescent="0.3">
      <c r="A48" s="226" t="s">
        <v>127</v>
      </c>
      <c r="B48" s="227"/>
      <c r="C48" s="251"/>
      <c r="D48" s="251"/>
      <c r="E48" s="251"/>
      <c r="F48" s="251"/>
      <c r="G48" s="251"/>
      <c r="H48" s="251"/>
      <c r="I48" s="251"/>
      <c r="J48" s="251"/>
      <c r="K48" s="251"/>
      <c r="L48" s="251"/>
      <c r="M48" s="251"/>
      <c r="N48" s="227"/>
      <c r="O48" s="227"/>
      <c r="P48" s="227"/>
      <c r="Q48" s="227"/>
      <c r="R48" s="227"/>
      <c r="S48" s="227"/>
      <c r="T48" s="227"/>
      <c r="U48" s="227"/>
      <c r="V48" s="227"/>
      <c r="W48" s="227"/>
      <c r="X48" s="227"/>
      <c r="Y48" s="227"/>
      <c r="Z48" s="227"/>
      <c r="AA48" s="227"/>
      <c r="AB48" s="227"/>
      <c r="AC48" s="227"/>
      <c r="AD48" s="227"/>
      <c r="AE48" s="227"/>
      <c r="AF48" s="227"/>
      <c r="AG48" s="227"/>
      <c r="AH48" s="227"/>
      <c r="AI48" s="227"/>
      <c r="AJ48" s="227"/>
      <c r="AK48" s="233"/>
    </row>
    <row r="49" spans="1:37" ht="15.75" thickTop="1" x14ac:dyDescent="0.25">
      <c r="A49" s="261" t="s">
        <v>56</v>
      </c>
      <c r="B49" s="36" t="s">
        <v>20</v>
      </c>
      <c r="C49" s="12">
        <v>114</v>
      </c>
      <c r="D49" s="12">
        <v>114</v>
      </c>
      <c r="E49" s="12">
        <v>114</v>
      </c>
      <c r="F49" s="12">
        <v>114</v>
      </c>
      <c r="G49" s="12">
        <v>114</v>
      </c>
      <c r="H49" s="12">
        <v>114</v>
      </c>
      <c r="I49" s="12">
        <v>114</v>
      </c>
      <c r="J49" s="12">
        <v>114</v>
      </c>
      <c r="K49" s="94">
        <v>114</v>
      </c>
      <c r="L49" s="53">
        <v>114</v>
      </c>
      <c r="M49" s="12">
        <v>114</v>
      </c>
      <c r="N49" s="94">
        <v>114</v>
      </c>
      <c r="O49" s="53"/>
      <c r="P49" s="12"/>
      <c r="Q49" s="12"/>
      <c r="R49" s="12"/>
      <c r="S49" s="12"/>
      <c r="T49" s="12"/>
      <c r="U49" s="12"/>
      <c r="V49" s="12"/>
      <c r="W49" s="12"/>
      <c r="X49" s="12"/>
      <c r="Y49" s="12"/>
      <c r="Z49" s="12"/>
      <c r="AA49" s="12"/>
      <c r="AB49" s="12"/>
      <c r="AC49" s="32"/>
      <c r="AK49" s="56"/>
    </row>
    <row r="50" spans="1:37" x14ac:dyDescent="0.25">
      <c r="A50" s="262"/>
      <c r="B50" s="36" t="s">
        <v>43</v>
      </c>
      <c r="C50" s="12">
        <v>80</v>
      </c>
      <c r="D50" s="12">
        <v>80</v>
      </c>
      <c r="E50" s="12">
        <v>80</v>
      </c>
      <c r="F50" s="12">
        <v>80</v>
      </c>
      <c r="G50" s="12">
        <v>80</v>
      </c>
      <c r="H50" s="12">
        <v>80</v>
      </c>
      <c r="I50" s="12">
        <v>80</v>
      </c>
      <c r="J50" s="12">
        <v>80</v>
      </c>
      <c r="K50" s="94">
        <v>80</v>
      </c>
      <c r="L50" s="53">
        <v>80</v>
      </c>
      <c r="M50" s="12">
        <v>80</v>
      </c>
      <c r="N50" s="94">
        <v>80</v>
      </c>
      <c r="O50" s="53">
        <v>80</v>
      </c>
      <c r="P50" s="12">
        <v>80</v>
      </c>
      <c r="Q50" s="12">
        <v>80</v>
      </c>
      <c r="R50" s="12">
        <v>80</v>
      </c>
      <c r="S50" s="12">
        <v>80</v>
      </c>
      <c r="T50" s="12">
        <v>80</v>
      </c>
      <c r="U50" s="12">
        <v>80</v>
      </c>
      <c r="V50" s="12">
        <v>80</v>
      </c>
      <c r="W50" s="12">
        <v>80</v>
      </c>
      <c r="X50" s="12">
        <v>80</v>
      </c>
      <c r="Y50" s="12">
        <v>80</v>
      </c>
      <c r="Z50" s="12">
        <v>80</v>
      </c>
      <c r="AA50" s="12">
        <v>80</v>
      </c>
      <c r="AB50" s="12">
        <v>80</v>
      </c>
      <c r="AC50" s="32"/>
      <c r="AK50" s="56"/>
    </row>
    <row r="51" spans="1:37" x14ac:dyDescent="0.25">
      <c r="A51" s="262"/>
      <c r="B51" s="36" t="s">
        <v>44</v>
      </c>
      <c r="C51" s="12">
        <v>60</v>
      </c>
      <c r="D51" s="12">
        <v>60</v>
      </c>
      <c r="E51" s="12">
        <v>60</v>
      </c>
      <c r="F51" s="12">
        <v>60</v>
      </c>
      <c r="G51" s="12">
        <v>60</v>
      </c>
      <c r="H51" s="12">
        <v>60</v>
      </c>
      <c r="I51" s="12">
        <v>60</v>
      </c>
      <c r="J51" s="12">
        <v>60</v>
      </c>
      <c r="K51" s="94">
        <v>60</v>
      </c>
      <c r="L51" s="53">
        <v>60</v>
      </c>
      <c r="M51" s="12">
        <v>60</v>
      </c>
      <c r="N51" s="94">
        <v>60</v>
      </c>
      <c r="O51" s="53">
        <v>60</v>
      </c>
      <c r="P51" s="12">
        <v>60</v>
      </c>
      <c r="Q51" s="12">
        <v>60</v>
      </c>
      <c r="R51" s="12">
        <v>60</v>
      </c>
      <c r="S51" s="12">
        <v>60</v>
      </c>
      <c r="T51" s="12">
        <v>60</v>
      </c>
      <c r="U51" s="12">
        <v>60</v>
      </c>
      <c r="V51" s="12">
        <v>60</v>
      </c>
      <c r="W51" s="12">
        <v>60</v>
      </c>
      <c r="X51" s="12">
        <v>60</v>
      </c>
      <c r="Y51" s="12">
        <v>60</v>
      </c>
      <c r="Z51" s="12">
        <v>60</v>
      </c>
      <c r="AA51" s="12">
        <v>60</v>
      </c>
      <c r="AB51" s="12">
        <v>60</v>
      </c>
      <c r="AC51" s="32"/>
      <c r="AK51" s="56"/>
    </row>
    <row r="52" spans="1:37" x14ac:dyDescent="0.25">
      <c r="A52" s="262"/>
      <c r="B52" s="36" t="s">
        <v>45</v>
      </c>
      <c r="C52" s="12">
        <v>60</v>
      </c>
      <c r="D52" s="12">
        <v>60</v>
      </c>
      <c r="E52" s="12">
        <v>60</v>
      </c>
      <c r="F52" s="12">
        <v>60</v>
      </c>
      <c r="G52" s="12">
        <v>60</v>
      </c>
      <c r="H52" s="12">
        <v>60</v>
      </c>
      <c r="I52" s="12">
        <v>60</v>
      </c>
      <c r="J52" s="12">
        <v>60</v>
      </c>
      <c r="K52" s="94">
        <v>60</v>
      </c>
      <c r="L52" s="53">
        <v>60</v>
      </c>
      <c r="M52" s="12">
        <v>60</v>
      </c>
      <c r="N52" s="94">
        <v>60</v>
      </c>
      <c r="O52" s="53">
        <v>60</v>
      </c>
      <c r="P52" s="12">
        <v>60</v>
      </c>
      <c r="Q52" s="12">
        <v>60</v>
      </c>
      <c r="R52" s="12">
        <v>60</v>
      </c>
      <c r="S52" s="12">
        <v>60</v>
      </c>
      <c r="T52" s="12">
        <v>60</v>
      </c>
      <c r="U52" s="12">
        <v>60</v>
      </c>
      <c r="V52" s="12">
        <v>60</v>
      </c>
      <c r="W52" s="12">
        <v>60</v>
      </c>
      <c r="X52" s="12">
        <v>60</v>
      </c>
      <c r="Y52" s="12">
        <v>60</v>
      </c>
      <c r="Z52" s="12">
        <v>60</v>
      </c>
      <c r="AA52" s="12">
        <v>60</v>
      </c>
      <c r="AB52" s="12">
        <v>60</v>
      </c>
      <c r="AC52" s="32"/>
      <c r="AK52" s="56"/>
    </row>
    <row r="53" spans="1:37" x14ac:dyDescent="0.25">
      <c r="A53" s="262"/>
      <c r="B53" s="67" t="s">
        <v>46</v>
      </c>
      <c r="C53" s="12">
        <v>500</v>
      </c>
      <c r="D53" s="12">
        <v>500</v>
      </c>
      <c r="E53" s="12">
        <v>500</v>
      </c>
      <c r="F53" s="12">
        <v>500</v>
      </c>
      <c r="G53" s="12">
        <v>500</v>
      </c>
      <c r="H53" s="12">
        <v>500</v>
      </c>
      <c r="I53" s="12">
        <v>500</v>
      </c>
      <c r="J53" s="12">
        <v>500</v>
      </c>
      <c r="K53" s="94">
        <v>500</v>
      </c>
      <c r="L53" s="53">
        <v>500</v>
      </c>
      <c r="M53" s="12">
        <v>500</v>
      </c>
      <c r="N53" s="94">
        <v>500</v>
      </c>
      <c r="O53" s="53">
        <v>500</v>
      </c>
      <c r="P53" s="12">
        <v>500</v>
      </c>
      <c r="Q53" s="12">
        <v>500</v>
      </c>
      <c r="R53" s="12">
        <v>500</v>
      </c>
      <c r="S53" s="12">
        <v>500</v>
      </c>
      <c r="T53" s="12">
        <v>500</v>
      </c>
      <c r="U53" s="12">
        <v>500</v>
      </c>
      <c r="V53" s="12">
        <v>500</v>
      </c>
      <c r="W53" s="12">
        <v>500</v>
      </c>
      <c r="X53" s="12">
        <v>500</v>
      </c>
      <c r="Y53" s="12">
        <v>500</v>
      </c>
      <c r="Z53" s="12">
        <v>500</v>
      </c>
      <c r="AA53" s="12">
        <v>500</v>
      </c>
      <c r="AB53" s="12">
        <v>500</v>
      </c>
      <c r="AC53" s="32"/>
      <c r="AK53" s="56"/>
    </row>
    <row r="54" spans="1:37" x14ac:dyDescent="0.25">
      <c r="A54" s="262"/>
      <c r="B54" s="36" t="s">
        <v>47</v>
      </c>
      <c r="C54" s="12">
        <v>250</v>
      </c>
      <c r="D54" s="12">
        <v>250</v>
      </c>
      <c r="E54" s="12">
        <v>250</v>
      </c>
      <c r="F54" s="12">
        <v>250</v>
      </c>
      <c r="G54" s="12">
        <v>250</v>
      </c>
      <c r="H54" s="12">
        <v>250</v>
      </c>
      <c r="I54" s="12">
        <v>250</v>
      </c>
      <c r="J54" s="12">
        <v>250</v>
      </c>
      <c r="K54" s="94">
        <v>250</v>
      </c>
      <c r="L54" s="53">
        <v>250</v>
      </c>
      <c r="M54" s="12">
        <v>250</v>
      </c>
      <c r="N54" s="94">
        <v>250</v>
      </c>
      <c r="O54" s="53">
        <v>250</v>
      </c>
      <c r="P54" s="12">
        <v>250</v>
      </c>
      <c r="Q54" s="12">
        <v>250</v>
      </c>
      <c r="R54" s="12">
        <v>250</v>
      </c>
      <c r="S54" s="12">
        <v>250</v>
      </c>
      <c r="T54" s="12">
        <v>250</v>
      </c>
      <c r="U54" s="12">
        <v>250</v>
      </c>
      <c r="V54" s="12">
        <v>250</v>
      </c>
      <c r="W54" s="12">
        <v>250</v>
      </c>
      <c r="X54" s="12">
        <v>250</v>
      </c>
      <c r="Y54" s="12">
        <v>250</v>
      </c>
      <c r="Z54" s="12">
        <v>250</v>
      </c>
      <c r="AA54" s="12">
        <v>250</v>
      </c>
      <c r="AB54" s="12">
        <v>250</v>
      </c>
      <c r="AC54" s="32"/>
      <c r="AK54" s="56"/>
    </row>
    <row r="55" spans="1:37" x14ac:dyDescent="0.25">
      <c r="A55" s="262"/>
      <c r="B55" s="36" t="s">
        <v>57</v>
      </c>
      <c r="C55" s="12"/>
      <c r="D55" s="12"/>
      <c r="E55" s="12"/>
      <c r="F55" s="12"/>
      <c r="G55" s="12"/>
      <c r="H55" s="12"/>
      <c r="I55" s="12"/>
      <c r="J55" s="12"/>
      <c r="K55" s="94"/>
      <c r="L55" s="53">
        <v>1200</v>
      </c>
      <c r="M55" s="12"/>
      <c r="N55" s="94"/>
      <c r="O55" s="53"/>
      <c r="P55" s="12"/>
      <c r="Q55" s="12"/>
      <c r="R55" s="12"/>
      <c r="S55" s="12"/>
      <c r="T55" s="12"/>
      <c r="U55" s="12"/>
      <c r="V55" s="12"/>
      <c r="W55" s="12"/>
      <c r="X55" s="12">
        <v>1200</v>
      </c>
      <c r="Y55" s="12"/>
      <c r="Z55" s="12"/>
      <c r="AA55" s="12"/>
      <c r="AB55" s="12"/>
      <c r="AC55" s="45"/>
      <c r="AK55" s="56"/>
    </row>
    <row r="56" spans="1:37" x14ac:dyDescent="0.25">
      <c r="A56" s="262"/>
      <c r="B56" s="36" t="s">
        <v>58</v>
      </c>
      <c r="C56" s="12"/>
      <c r="D56" s="12"/>
      <c r="E56" s="12"/>
      <c r="F56" s="12"/>
      <c r="G56" s="12"/>
      <c r="H56" s="12"/>
      <c r="I56" s="12"/>
      <c r="J56" s="12"/>
      <c r="K56" s="94"/>
      <c r="L56" s="53">
        <v>300</v>
      </c>
      <c r="M56" s="12"/>
      <c r="N56" s="94"/>
      <c r="O56" s="53"/>
      <c r="P56" s="12"/>
      <c r="Q56" s="12"/>
      <c r="R56" s="12"/>
      <c r="S56" s="12"/>
      <c r="T56" s="12"/>
      <c r="U56" s="12"/>
      <c r="V56" s="12"/>
      <c r="W56" s="12"/>
      <c r="X56" s="12">
        <v>300</v>
      </c>
      <c r="Y56" s="12"/>
      <c r="Z56" s="12"/>
      <c r="AA56" s="12"/>
      <c r="AB56" s="12"/>
      <c r="AC56" s="45"/>
      <c r="AK56" s="56"/>
    </row>
    <row r="57" spans="1:37" x14ac:dyDescent="0.25">
      <c r="A57" s="262"/>
      <c r="B57" s="36" t="s">
        <v>61</v>
      </c>
      <c r="C57" s="12"/>
      <c r="D57" s="12"/>
      <c r="E57" s="12"/>
      <c r="F57" s="12"/>
      <c r="G57" s="12"/>
      <c r="H57" s="12"/>
      <c r="I57" s="12"/>
      <c r="J57" s="12"/>
      <c r="K57" s="94"/>
      <c r="L57" s="90">
        <v>1850</v>
      </c>
      <c r="M57" s="62"/>
      <c r="N57" s="116"/>
      <c r="O57" s="90"/>
      <c r="P57" s="62"/>
      <c r="Q57" s="62"/>
      <c r="R57" s="62"/>
      <c r="S57" s="62"/>
      <c r="T57" s="62"/>
      <c r="U57" s="62"/>
      <c r="V57" s="62"/>
      <c r="W57" s="62"/>
      <c r="X57" s="62">
        <v>1850</v>
      </c>
      <c r="Y57" s="12"/>
      <c r="Z57" s="12"/>
      <c r="AA57" s="12"/>
      <c r="AB57" s="12"/>
      <c r="AC57" s="45"/>
      <c r="AK57" s="56"/>
    </row>
    <row r="58" spans="1:37" x14ac:dyDescent="0.25">
      <c r="A58" s="262"/>
      <c r="B58" s="36" t="s">
        <v>60</v>
      </c>
      <c r="C58" s="12"/>
      <c r="D58" s="12"/>
      <c r="E58" s="12"/>
      <c r="F58" s="12"/>
      <c r="G58" s="12"/>
      <c r="H58" s="12"/>
      <c r="I58" s="12"/>
      <c r="J58" s="12"/>
      <c r="K58" s="94"/>
      <c r="L58" s="90">
        <v>1350</v>
      </c>
      <c r="M58" s="62"/>
      <c r="N58" s="116"/>
      <c r="O58" s="90"/>
      <c r="P58" s="62"/>
      <c r="Q58" s="62"/>
      <c r="R58" s="62"/>
      <c r="S58" s="62"/>
      <c r="T58" s="62"/>
      <c r="U58" s="62"/>
      <c r="V58" s="62"/>
      <c r="W58" s="62"/>
      <c r="X58" s="62">
        <v>1350</v>
      </c>
      <c r="Y58" s="12"/>
      <c r="Z58" s="12"/>
      <c r="AA58" s="12"/>
      <c r="AB58" s="12"/>
      <c r="AC58" s="45"/>
      <c r="AK58" s="56"/>
    </row>
    <row r="59" spans="1:37" x14ac:dyDescent="0.25">
      <c r="A59" s="262"/>
      <c r="B59" s="41" t="s">
        <v>59</v>
      </c>
      <c r="C59" s="46"/>
      <c r="D59" s="46"/>
      <c r="E59" s="46"/>
      <c r="F59" s="46"/>
      <c r="G59" s="46"/>
      <c r="H59" s="46"/>
      <c r="I59" s="46"/>
      <c r="J59" s="46"/>
      <c r="K59" s="103"/>
      <c r="L59" s="63">
        <v>400</v>
      </c>
      <c r="M59" s="46"/>
      <c r="N59" s="103"/>
      <c r="O59" s="63"/>
      <c r="P59" s="46"/>
      <c r="Q59" s="46"/>
      <c r="R59" s="46"/>
      <c r="S59" s="46"/>
      <c r="T59" s="46"/>
      <c r="U59" s="46"/>
      <c r="V59" s="46"/>
      <c r="W59" s="46"/>
      <c r="X59" s="46">
        <v>400</v>
      </c>
      <c r="Y59" s="46"/>
      <c r="Z59" s="46"/>
      <c r="AA59" s="46"/>
      <c r="AB59" s="46"/>
      <c r="AC59" s="45"/>
      <c r="AK59" s="56"/>
    </row>
    <row r="60" spans="1:37" x14ac:dyDescent="0.25">
      <c r="A60" s="262"/>
      <c r="B60" s="47" t="s">
        <v>62</v>
      </c>
      <c r="C60" s="46"/>
      <c r="D60" s="46"/>
      <c r="E60" s="46"/>
      <c r="F60" s="46"/>
      <c r="G60" s="46"/>
      <c r="H60" s="46"/>
      <c r="I60" s="46"/>
      <c r="J60" s="46"/>
      <c r="K60" s="103"/>
      <c r="L60" s="63"/>
      <c r="M60" s="46"/>
      <c r="N60" s="103"/>
      <c r="O60" s="63"/>
      <c r="P60" s="46"/>
      <c r="Q60" s="46"/>
      <c r="R60" s="46"/>
      <c r="S60" s="46"/>
      <c r="T60" s="46"/>
      <c r="U60" s="46"/>
      <c r="V60" s="46"/>
      <c r="W60" s="46"/>
      <c r="X60" s="46"/>
      <c r="Y60" s="46"/>
      <c r="Z60" s="46"/>
      <c r="AA60" s="46"/>
      <c r="AB60" s="46"/>
      <c r="AC60" s="45"/>
      <c r="AK60" s="56"/>
    </row>
    <row r="61" spans="1:37" x14ac:dyDescent="0.25">
      <c r="A61" s="262"/>
      <c r="B61" s="41" t="s">
        <v>63</v>
      </c>
      <c r="C61" s="46">
        <v>112</v>
      </c>
      <c r="D61" s="46">
        <v>112</v>
      </c>
      <c r="E61" s="46">
        <v>112</v>
      </c>
      <c r="F61" s="46">
        <v>112</v>
      </c>
      <c r="G61" s="46">
        <v>112</v>
      </c>
      <c r="H61" s="46">
        <v>112</v>
      </c>
      <c r="I61" s="46">
        <v>112</v>
      </c>
      <c r="J61" s="46">
        <v>112</v>
      </c>
      <c r="K61" s="103">
        <v>112</v>
      </c>
      <c r="L61" s="63">
        <v>112</v>
      </c>
      <c r="M61" s="46">
        <v>112</v>
      </c>
      <c r="N61" s="103">
        <v>112</v>
      </c>
      <c r="O61" s="63">
        <v>112</v>
      </c>
      <c r="P61" s="46">
        <v>112</v>
      </c>
      <c r="Q61" s="46">
        <v>112</v>
      </c>
      <c r="R61" s="46">
        <v>112</v>
      </c>
      <c r="S61" s="46">
        <v>112</v>
      </c>
      <c r="T61" s="46">
        <v>112</v>
      </c>
      <c r="U61" s="46">
        <v>112</v>
      </c>
      <c r="V61" s="46">
        <v>112</v>
      </c>
      <c r="W61" s="46">
        <v>112</v>
      </c>
      <c r="X61" s="46">
        <v>112</v>
      </c>
      <c r="Y61" s="46">
        <v>112</v>
      </c>
      <c r="Z61" s="46">
        <v>112</v>
      </c>
      <c r="AA61" s="46">
        <v>112</v>
      </c>
      <c r="AB61" s="46">
        <v>112</v>
      </c>
      <c r="AC61" s="45"/>
      <c r="AK61" s="56"/>
    </row>
    <row r="62" spans="1:37" x14ac:dyDescent="0.25">
      <c r="A62" s="262"/>
      <c r="B62" s="41" t="s">
        <v>135</v>
      </c>
      <c r="C62" s="46"/>
      <c r="D62" s="46"/>
      <c r="E62" s="46"/>
      <c r="F62" s="46"/>
      <c r="G62" s="46"/>
      <c r="H62" s="46"/>
      <c r="I62" s="46"/>
      <c r="J62" s="46"/>
      <c r="K62" s="103"/>
      <c r="L62" s="63"/>
      <c r="M62" s="46"/>
      <c r="N62" s="103"/>
      <c r="O62" s="63"/>
      <c r="P62" s="46"/>
      <c r="Q62" s="46"/>
      <c r="R62" s="46"/>
      <c r="S62" s="46"/>
      <c r="T62" s="46"/>
      <c r="U62" s="46"/>
      <c r="V62" s="46"/>
      <c r="W62" s="46"/>
      <c r="X62" s="46"/>
      <c r="Y62" s="46"/>
      <c r="Z62" s="46"/>
      <c r="AA62" s="46"/>
      <c r="AB62" s="46"/>
      <c r="AC62" s="45"/>
      <c r="AK62" s="56"/>
    </row>
    <row r="63" spans="1:37" x14ac:dyDescent="0.25">
      <c r="A63" s="262"/>
      <c r="B63" s="41"/>
      <c r="C63" s="46"/>
      <c r="D63" s="46"/>
      <c r="E63" s="46"/>
      <c r="F63" s="46"/>
      <c r="G63" s="46"/>
      <c r="H63" s="46"/>
      <c r="I63" s="46"/>
      <c r="J63" s="46"/>
      <c r="K63" s="103"/>
      <c r="L63" s="63"/>
      <c r="M63" s="46"/>
      <c r="N63" s="103"/>
      <c r="O63" s="63"/>
      <c r="P63" s="46"/>
      <c r="Q63" s="46"/>
      <c r="R63" s="46"/>
      <c r="S63" s="46"/>
      <c r="T63" s="46"/>
      <c r="U63" s="46"/>
      <c r="V63" s="46"/>
      <c r="W63" s="46"/>
      <c r="X63" s="46"/>
      <c r="Y63" s="46"/>
      <c r="Z63" s="46"/>
      <c r="AA63" s="46"/>
      <c r="AB63" s="46"/>
      <c r="AC63" s="45"/>
      <c r="AK63" s="56"/>
    </row>
    <row r="64" spans="1:37" x14ac:dyDescent="0.25">
      <c r="A64" s="262"/>
      <c r="B64" s="41"/>
      <c r="C64" s="46"/>
      <c r="D64" s="46"/>
      <c r="E64" s="46"/>
      <c r="F64" s="46"/>
      <c r="G64" s="46"/>
      <c r="H64" s="46"/>
      <c r="I64" s="46"/>
      <c r="J64" s="46"/>
      <c r="K64" s="103"/>
      <c r="L64" s="63"/>
      <c r="M64" s="46"/>
      <c r="N64" s="103"/>
      <c r="O64" s="63"/>
      <c r="P64" s="46"/>
      <c r="Q64" s="46"/>
      <c r="R64" s="46"/>
      <c r="S64" s="46"/>
      <c r="T64" s="46"/>
      <c r="U64" s="46"/>
      <c r="V64" s="46"/>
      <c r="W64" s="46"/>
      <c r="X64" s="46"/>
      <c r="Y64" s="46"/>
      <c r="Z64" s="46"/>
      <c r="AA64" s="46"/>
      <c r="AB64" s="46"/>
      <c r="AC64" s="45"/>
      <c r="AK64" s="56"/>
    </row>
    <row r="65" spans="1:37" x14ac:dyDescent="0.25">
      <c r="A65" s="262"/>
      <c r="B65" s="41"/>
      <c r="C65" s="46"/>
      <c r="D65" s="46"/>
      <c r="E65" s="46"/>
      <c r="F65" s="46"/>
      <c r="G65" s="46"/>
      <c r="H65" s="46"/>
      <c r="I65" s="46"/>
      <c r="J65" s="46"/>
      <c r="K65" s="103"/>
      <c r="L65" s="63"/>
      <c r="M65" s="46"/>
      <c r="N65" s="103"/>
      <c r="O65" s="63"/>
      <c r="P65" s="46"/>
      <c r="Q65" s="46"/>
      <c r="R65" s="46"/>
      <c r="S65" s="46"/>
      <c r="T65" s="46"/>
      <c r="U65" s="46"/>
      <c r="V65" s="46"/>
      <c r="W65" s="46"/>
      <c r="X65" s="46"/>
      <c r="Y65" s="46"/>
      <c r="Z65" s="46"/>
      <c r="AA65" s="46"/>
      <c r="AB65" s="46"/>
      <c r="AC65" s="45"/>
      <c r="AK65" s="56"/>
    </row>
    <row r="66" spans="1:37" ht="15.75" thickBot="1" x14ac:dyDescent="0.3">
      <c r="A66" s="262"/>
      <c r="B66" s="37" t="s">
        <v>48</v>
      </c>
      <c r="C66" s="34">
        <f>SUM(C49:C65)</f>
        <v>1176</v>
      </c>
      <c r="D66" s="34">
        <f t="shared" ref="D66:AB66" si="35">SUM(D49:D65)</f>
        <v>1176</v>
      </c>
      <c r="E66" s="34">
        <f t="shared" si="35"/>
        <v>1176</v>
      </c>
      <c r="F66" s="34">
        <f t="shared" si="35"/>
        <v>1176</v>
      </c>
      <c r="G66" s="34">
        <f t="shared" si="35"/>
        <v>1176</v>
      </c>
      <c r="H66" s="34">
        <f t="shared" si="35"/>
        <v>1176</v>
      </c>
      <c r="I66" s="34">
        <f t="shared" si="35"/>
        <v>1176</v>
      </c>
      <c r="J66" s="34">
        <f t="shared" si="35"/>
        <v>1176</v>
      </c>
      <c r="K66" s="104">
        <f t="shared" si="35"/>
        <v>1176</v>
      </c>
      <c r="L66" s="91">
        <f t="shared" si="35"/>
        <v>6276</v>
      </c>
      <c r="M66" s="34">
        <f t="shared" si="35"/>
        <v>1176</v>
      </c>
      <c r="N66" s="104">
        <f t="shared" si="35"/>
        <v>1176</v>
      </c>
      <c r="O66" s="91">
        <f t="shared" si="35"/>
        <v>1062</v>
      </c>
      <c r="P66" s="34">
        <f t="shared" si="35"/>
        <v>1062</v>
      </c>
      <c r="Q66" s="34">
        <f t="shared" si="35"/>
        <v>1062</v>
      </c>
      <c r="R66" s="34">
        <f t="shared" si="35"/>
        <v>1062</v>
      </c>
      <c r="S66" s="34">
        <f t="shared" si="35"/>
        <v>1062</v>
      </c>
      <c r="T66" s="34">
        <f t="shared" si="35"/>
        <v>1062</v>
      </c>
      <c r="U66" s="34">
        <f t="shared" si="35"/>
        <v>1062</v>
      </c>
      <c r="V66" s="34">
        <f t="shared" si="35"/>
        <v>1062</v>
      </c>
      <c r="W66" s="34">
        <f t="shared" si="35"/>
        <v>1062</v>
      </c>
      <c r="X66" s="34">
        <f t="shared" si="35"/>
        <v>6162</v>
      </c>
      <c r="Y66" s="34">
        <f t="shared" si="35"/>
        <v>1062</v>
      </c>
      <c r="Z66" s="34">
        <f t="shared" si="35"/>
        <v>1062</v>
      </c>
      <c r="AA66" s="34">
        <f t="shared" si="35"/>
        <v>1062</v>
      </c>
      <c r="AB66" s="34">
        <f t="shared" si="35"/>
        <v>1062</v>
      </c>
      <c r="AC66" s="35">
        <f t="shared" ref="AC66:AC70" si="36">SUM(N66:AB66)</f>
        <v>21144</v>
      </c>
      <c r="AK66" s="56"/>
    </row>
    <row r="67" spans="1:37" ht="16.5" thickBot="1" x14ac:dyDescent="0.3">
      <c r="A67" s="226" t="s">
        <v>93</v>
      </c>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c r="AA67" s="227"/>
      <c r="AB67" s="227"/>
      <c r="AC67" s="227"/>
      <c r="AD67" s="227"/>
      <c r="AE67" s="227"/>
      <c r="AF67" s="227"/>
      <c r="AG67" s="227"/>
      <c r="AH67" s="227"/>
      <c r="AI67" s="227"/>
      <c r="AJ67" s="227"/>
      <c r="AK67" s="233"/>
    </row>
    <row r="68" spans="1:37" x14ac:dyDescent="0.25">
      <c r="A68" s="55"/>
      <c r="C68" s="263" t="s">
        <v>131</v>
      </c>
      <c r="D68" s="263"/>
      <c r="E68" s="263"/>
      <c r="F68" s="263"/>
      <c r="G68" s="263"/>
      <c r="H68" s="263"/>
      <c r="I68" s="263"/>
      <c r="J68" s="263"/>
      <c r="K68" s="263"/>
      <c r="L68" s="263"/>
      <c r="M68" s="263"/>
      <c r="N68" s="201">
        <f>N45+N66</f>
        <v>4004</v>
      </c>
      <c r="O68" s="201">
        <f t="shared" ref="O68:AB68" si="37">O45+O66</f>
        <v>4613</v>
      </c>
      <c r="P68" s="201">
        <f t="shared" si="37"/>
        <v>4572</v>
      </c>
      <c r="Q68" s="201">
        <f t="shared" si="37"/>
        <v>4613</v>
      </c>
      <c r="R68" s="201">
        <f t="shared" si="37"/>
        <v>4512</v>
      </c>
      <c r="S68" s="201">
        <f t="shared" si="37"/>
        <v>4553</v>
      </c>
      <c r="T68" s="201">
        <f t="shared" si="37"/>
        <v>4613</v>
      </c>
      <c r="U68" s="201">
        <f t="shared" si="37"/>
        <v>4632</v>
      </c>
      <c r="V68" s="201">
        <f t="shared" si="37"/>
        <v>10493</v>
      </c>
      <c r="W68" s="201">
        <f t="shared" si="37"/>
        <v>8592</v>
      </c>
      <c r="X68" s="201">
        <f t="shared" si="37"/>
        <v>9473</v>
      </c>
      <c r="Y68" s="201">
        <f t="shared" si="37"/>
        <v>4373</v>
      </c>
      <c r="Z68" s="201">
        <f t="shared" si="37"/>
        <v>4171</v>
      </c>
      <c r="AA68" s="201">
        <f t="shared" si="37"/>
        <v>4373</v>
      </c>
      <c r="AB68" s="201">
        <f t="shared" si="37"/>
        <v>8772</v>
      </c>
      <c r="AC68" s="202">
        <f t="shared" si="36"/>
        <v>86359</v>
      </c>
      <c r="AK68" s="56"/>
    </row>
    <row r="69" spans="1:37" x14ac:dyDescent="0.25">
      <c r="A69" s="55"/>
      <c r="C69" s="259" t="s">
        <v>130</v>
      </c>
      <c r="D69" s="259"/>
      <c r="E69" s="259"/>
      <c r="F69" s="259"/>
      <c r="G69" s="259"/>
      <c r="H69" s="259"/>
      <c r="I69" s="259"/>
      <c r="J69" s="259"/>
      <c r="K69" s="259"/>
      <c r="L69" s="259"/>
      <c r="M69" s="259"/>
      <c r="N69" s="12">
        <f>N46</f>
        <v>1611.0604166666667</v>
      </c>
      <c r="O69" s="12">
        <f t="shared" ref="O69:AB69" si="38">O46</f>
        <v>1611.0604166666667</v>
      </c>
      <c r="P69" s="12">
        <f t="shared" si="38"/>
        <v>1611.0604166666667</v>
      </c>
      <c r="Q69" s="12">
        <f t="shared" si="38"/>
        <v>1611.0604166666667</v>
      </c>
      <c r="R69" s="12">
        <f t="shared" si="38"/>
        <v>1611.0604166666667</v>
      </c>
      <c r="S69" s="12">
        <f t="shared" si="38"/>
        <v>1611.0604166666667</v>
      </c>
      <c r="T69" s="12">
        <f t="shared" si="38"/>
        <v>1611.0604166666667</v>
      </c>
      <c r="U69" s="12">
        <f t="shared" si="38"/>
        <v>1611.0604166666667</v>
      </c>
      <c r="V69" s="12">
        <f t="shared" si="38"/>
        <v>1611.0604166666667</v>
      </c>
      <c r="W69" s="12">
        <f t="shared" si="38"/>
        <v>1611.0604166666667</v>
      </c>
      <c r="X69" s="12">
        <f t="shared" si="38"/>
        <v>1611.0604166666667</v>
      </c>
      <c r="Y69" s="12">
        <f t="shared" si="38"/>
        <v>1611.0604166666667</v>
      </c>
      <c r="Z69" s="12">
        <f t="shared" si="38"/>
        <v>1611.0604166666667</v>
      </c>
      <c r="AA69" s="12">
        <f t="shared" si="38"/>
        <v>1611.0604166666667</v>
      </c>
      <c r="AB69" s="12">
        <f t="shared" si="38"/>
        <v>1611.0604166666667</v>
      </c>
      <c r="AC69" s="200">
        <f t="shared" si="36"/>
        <v>24165.906250000004</v>
      </c>
      <c r="AK69" s="56"/>
    </row>
    <row r="70" spans="1:37" x14ac:dyDescent="0.25">
      <c r="A70" s="55"/>
      <c r="C70" s="259" t="s">
        <v>132</v>
      </c>
      <c r="D70" s="259"/>
      <c r="E70" s="259"/>
      <c r="F70" s="259"/>
      <c r="G70" s="259"/>
      <c r="H70" s="259"/>
      <c r="I70" s="259"/>
      <c r="J70" s="259"/>
      <c r="K70" s="259"/>
      <c r="L70" s="259"/>
      <c r="M70" s="259"/>
      <c r="N70" s="28">
        <f>N68-N69</f>
        <v>2392.9395833333333</v>
      </c>
      <c r="O70" s="28">
        <f t="shared" ref="O70:AB70" si="39">O68-O69</f>
        <v>3001.9395833333333</v>
      </c>
      <c r="P70" s="28">
        <f t="shared" si="39"/>
        <v>2960.9395833333333</v>
      </c>
      <c r="Q70" s="28">
        <f t="shared" si="39"/>
        <v>3001.9395833333333</v>
      </c>
      <c r="R70" s="28">
        <f t="shared" si="39"/>
        <v>2900.9395833333333</v>
      </c>
      <c r="S70" s="28">
        <f t="shared" si="39"/>
        <v>2941.9395833333333</v>
      </c>
      <c r="T70" s="28">
        <f t="shared" si="39"/>
        <v>3001.9395833333333</v>
      </c>
      <c r="U70" s="28">
        <f t="shared" si="39"/>
        <v>3020.9395833333333</v>
      </c>
      <c r="V70" s="28">
        <f t="shared" si="39"/>
        <v>8881.9395833333328</v>
      </c>
      <c r="W70" s="28">
        <f t="shared" si="39"/>
        <v>6980.9395833333328</v>
      </c>
      <c r="X70" s="28">
        <f t="shared" si="39"/>
        <v>7861.9395833333328</v>
      </c>
      <c r="Y70" s="28">
        <f t="shared" si="39"/>
        <v>2761.9395833333333</v>
      </c>
      <c r="Z70" s="28">
        <f t="shared" si="39"/>
        <v>2559.9395833333333</v>
      </c>
      <c r="AA70" s="28">
        <f t="shared" si="39"/>
        <v>2761.9395833333333</v>
      </c>
      <c r="AB70" s="28">
        <f t="shared" si="39"/>
        <v>7160.9395833333328</v>
      </c>
      <c r="AC70" s="200">
        <f t="shared" si="36"/>
        <v>62193.093749999993</v>
      </c>
      <c r="AK70" s="56"/>
    </row>
    <row r="71" spans="1:37" x14ac:dyDescent="0.25">
      <c r="A71" s="55"/>
      <c r="B71" s="207">
        <v>50000</v>
      </c>
      <c r="C71" s="259" t="s">
        <v>133</v>
      </c>
      <c r="D71" s="259"/>
      <c r="E71" s="259"/>
      <c r="F71" s="259"/>
      <c r="G71" s="259"/>
      <c r="H71" s="259"/>
      <c r="I71" s="259"/>
      <c r="J71" s="259"/>
      <c r="K71" s="259"/>
      <c r="L71" s="259"/>
      <c r="M71" s="259"/>
      <c r="N71" s="208">
        <f>B71-N70</f>
        <v>47607.060416666667</v>
      </c>
      <c r="O71" s="3">
        <f>N71-O70</f>
        <v>44605.120833333334</v>
      </c>
      <c r="P71" s="3">
        <f t="shared" ref="P71:AB71" si="40">O71-P70</f>
        <v>41644.181250000001</v>
      </c>
      <c r="Q71" s="3">
        <f t="shared" si="40"/>
        <v>38642.241666666669</v>
      </c>
      <c r="R71" s="3">
        <f t="shared" si="40"/>
        <v>35741.302083333336</v>
      </c>
      <c r="S71" s="3">
        <f t="shared" si="40"/>
        <v>32799.362500000003</v>
      </c>
      <c r="T71" s="3">
        <f t="shared" si="40"/>
        <v>29797.42291666667</v>
      </c>
      <c r="U71" s="3">
        <f t="shared" si="40"/>
        <v>26776.483333333337</v>
      </c>
      <c r="V71" s="3">
        <f t="shared" si="40"/>
        <v>17894.543750000004</v>
      </c>
      <c r="W71" s="3">
        <f t="shared" si="40"/>
        <v>10913.604166666672</v>
      </c>
      <c r="X71" s="3">
        <f t="shared" si="40"/>
        <v>3051.6645833333387</v>
      </c>
      <c r="Y71" s="3">
        <f t="shared" si="40"/>
        <v>289.72500000000537</v>
      </c>
      <c r="Z71" s="3">
        <f t="shared" si="40"/>
        <v>-2270.2145833333279</v>
      </c>
      <c r="AA71" s="3">
        <f t="shared" si="40"/>
        <v>-5032.1541666666617</v>
      </c>
      <c r="AB71" s="3">
        <f t="shared" si="40"/>
        <v>-12193.093749999995</v>
      </c>
      <c r="AC71" s="200"/>
      <c r="AK71" s="56"/>
    </row>
    <row r="72" spans="1:37" ht="15.75" thickBot="1" x14ac:dyDescent="0.3">
      <c r="A72" s="174"/>
      <c r="B72" s="60"/>
      <c r="C72" s="260" t="s">
        <v>134</v>
      </c>
      <c r="D72" s="260"/>
      <c r="E72" s="260"/>
      <c r="F72" s="260"/>
      <c r="G72" s="260"/>
      <c r="H72" s="260"/>
      <c r="I72" s="260"/>
      <c r="J72" s="260"/>
      <c r="K72" s="260"/>
      <c r="L72" s="260"/>
      <c r="M72" s="260"/>
      <c r="N72" s="33"/>
      <c r="O72" s="33"/>
      <c r="P72" s="33"/>
      <c r="Q72" s="33"/>
      <c r="R72" s="33"/>
      <c r="S72" s="33"/>
      <c r="T72" s="33"/>
      <c r="U72" s="33"/>
      <c r="V72" s="33"/>
      <c r="W72" s="33"/>
      <c r="X72" s="33"/>
      <c r="Y72" s="33"/>
      <c r="Z72" s="33"/>
      <c r="AA72" s="33"/>
      <c r="AB72" s="33"/>
      <c r="AC72" s="33"/>
      <c r="AD72" s="60"/>
      <c r="AE72" s="60"/>
      <c r="AF72" s="60"/>
      <c r="AG72" s="60"/>
      <c r="AH72" s="60"/>
      <c r="AI72" s="60"/>
      <c r="AJ72" s="60"/>
      <c r="AK72" s="61"/>
    </row>
    <row r="73" spans="1:37" x14ac:dyDescent="0.25">
      <c r="K73"/>
      <c r="N73"/>
      <c r="AK73"/>
    </row>
    <row r="74" spans="1:37" x14ac:dyDescent="0.25">
      <c r="K74"/>
      <c r="N74"/>
      <c r="AK74"/>
    </row>
    <row r="75" spans="1:37" x14ac:dyDescent="0.25">
      <c r="K75"/>
      <c r="N75"/>
      <c r="AK75"/>
    </row>
    <row r="76" spans="1:37" x14ac:dyDescent="0.25">
      <c r="K76"/>
      <c r="N76"/>
      <c r="AK76"/>
    </row>
    <row r="77" spans="1:37" x14ac:dyDescent="0.25">
      <c r="K77"/>
      <c r="N77"/>
      <c r="AK77"/>
    </row>
    <row r="78" spans="1:37" x14ac:dyDescent="0.25">
      <c r="K78"/>
      <c r="N78"/>
      <c r="AK78"/>
    </row>
    <row r="79" spans="1:37" x14ac:dyDescent="0.25">
      <c r="K79"/>
      <c r="N79"/>
      <c r="AK79"/>
    </row>
    <row r="80" spans="1:37" x14ac:dyDescent="0.25">
      <c r="K80"/>
      <c r="N80"/>
      <c r="AK80"/>
    </row>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sheetData>
  <mergeCells count="64">
    <mergeCell ref="C71:M71"/>
    <mergeCell ref="C72:M72"/>
    <mergeCell ref="A67:AK67"/>
    <mergeCell ref="A49:A66"/>
    <mergeCell ref="C68:M68"/>
    <mergeCell ref="C69:M69"/>
    <mergeCell ref="C70:M70"/>
    <mergeCell ref="A48:AK48"/>
    <mergeCell ref="C37:M37"/>
    <mergeCell ref="C38:M38"/>
    <mergeCell ref="C39:M39"/>
    <mergeCell ref="C40:M40"/>
    <mergeCell ref="C41:M41"/>
    <mergeCell ref="C42:M42"/>
    <mergeCell ref="C43:M43"/>
    <mergeCell ref="C44:M44"/>
    <mergeCell ref="C45:M45"/>
    <mergeCell ref="C46:M46"/>
    <mergeCell ref="C47:M47"/>
    <mergeCell ref="AD47:AJ47"/>
    <mergeCell ref="AD41:AJ41"/>
    <mergeCell ref="AD42:AJ42"/>
    <mergeCell ref="AD43:AJ43"/>
    <mergeCell ref="AD44:AJ44"/>
    <mergeCell ref="AD46:AJ46"/>
    <mergeCell ref="AD36:AJ36"/>
    <mergeCell ref="AD37:AJ37"/>
    <mergeCell ref="AD38:AJ38"/>
    <mergeCell ref="AD39:AJ39"/>
    <mergeCell ref="AD40:AJ40"/>
    <mergeCell ref="AD45:AK45"/>
    <mergeCell ref="AD30:AJ30"/>
    <mergeCell ref="AD31:AJ31"/>
    <mergeCell ref="AD32:AJ32"/>
    <mergeCell ref="AD34:AJ34"/>
    <mergeCell ref="AD35:AJ35"/>
    <mergeCell ref="A33:AK33"/>
    <mergeCell ref="B34:M35"/>
    <mergeCell ref="AD24:AJ24"/>
    <mergeCell ref="AD26:AJ26"/>
    <mergeCell ref="AD27:AJ27"/>
    <mergeCell ref="AD28:AJ28"/>
    <mergeCell ref="AD29:AJ29"/>
    <mergeCell ref="AD25:AJ25"/>
    <mergeCell ref="A1:B1"/>
    <mergeCell ref="A7:AK7"/>
    <mergeCell ref="AD8:AI8"/>
    <mergeCell ref="A18:AK18"/>
    <mergeCell ref="A23:AK23"/>
    <mergeCell ref="H19:N22"/>
    <mergeCell ref="A8:A17"/>
    <mergeCell ref="A3:A6"/>
    <mergeCell ref="A2:B2"/>
    <mergeCell ref="K2:L2"/>
    <mergeCell ref="W28:AB28"/>
    <mergeCell ref="A19:A22"/>
    <mergeCell ref="W34:AB34"/>
    <mergeCell ref="C28:L28"/>
    <mergeCell ref="A24:A32"/>
    <mergeCell ref="C32:M32"/>
    <mergeCell ref="O28:U28"/>
    <mergeCell ref="O29:U29"/>
    <mergeCell ref="O30:U30"/>
    <mergeCell ref="O31:U31"/>
  </mergeCells>
  <phoneticPr fontId="2" type="noConversion"/>
  <pageMargins left="0.25" right="0.25" top="0.75" bottom="0.75" header="0.3" footer="0.3"/>
  <pageSetup paperSize="8" scale="46"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CALCS</vt:lpstr>
      <vt:lpstr>CALCS!Print_Area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Snyman</dc:creator>
  <cp:lastModifiedBy>Johan Snyman</cp:lastModifiedBy>
  <cp:lastPrinted>2026-02-17T01:42:48Z</cp:lastPrinted>
  <dcterms:created xsi:type="dcterms:W3CDTF">2026-02-15T23:49:43Z</dcterms:created>
  <dcterms:modified xsi:type="dcterms:W3CDTF">2026-05-21T06:53:54Z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733d62-8159-44ea-9d80-caebebf1f217_Enabled">
    <vt:lpwstr>true</vt:lpwstr>
  </property>
  <property fmtid="{D5CDD505-2E9C-101B-9397-08002B2CF9AE}" pid="3" name="MSIP_Label_d7733d62-8159-44ea-9d80-caebebf1f217_SetDate">
    <vt:lpwstr>2026-02-16T00:52:09Z</vt:lpwstr>
  </property>
  <property fmtid="{D5CDD505-2E9C-101B-9397-08002B2CF9AE}" pid="4" name="MSIP_Label_d7733d62-8159-44ea-9d80-caebebf1f217_Method">
    <vt:lpwstr>Privileged</vt:lpwstr>
  </property>
  <property fmtid="{D5CDD505-2E9C-101B-9397-08002B2CF9AE}" pid="5" name="MSIP_Label_d7733d62-8159-44ea-9d80-caebebf1f217_Name">
    <vt:lpwstr>UNOFFICIAL</vt:lpwstr>
  </property>
  <property fmtid="{D5CDD505-2E9C-101B-9397-08002B2CF9AE}" pid="6" name="MSIP_Label_d7733d62-8159-44ea-9d80-caebebf1f217_SiteId">
    <vt:lpwstr>be3ca486-1cba-4aae-8181-c7165fb70b02</vt:lpwstr>
  </property>
  <property fmtid="{D5CDD505-2E9C-101B-9397-08002B2CF9AE}" pid="7" name="MSIP_Label_d7733d62-8159-44ea-9d80-caebebf1f217_ActionId">
    <vt:lpwstr>172db7c7-aaa2-41d6-973e-7bd0d3a9110f</vt:lpwstr>
  </property>
  <property fmtid="{D5CDD505-2E9C-101B-9397-08002B2CF9AE}" pid="8" name="MSIP_Label_d7733d62-8159-44ea-9d80-caebebf1f217_ContentBits">
    <vt:lpwstr>0</vt:lpwstr>
  </property>
  <property fmtid="{D5CDD505-2E9C-101B-9397-08002B2CF9AE}" pid="9" name="MSIP_Label_d7733d62-8159-44ea-9d80-caebebf1f217_Tag">
    <vt:lpwstr>10, 0, 1, 1</vt:lpwstr>
  </property>
</Properties>
</file>