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ernports-my.sharepoint.com/personal/johannes_snyman_southernports_com_au/Documents/"/>
    </mc:Choice>
  </mc:AlternateContent>
  <xr:revisionPtr revIDLastSave="0" documentId="8_{9DE3CD3F-0EB7-4EEC-9091-4AEBFD3E8102}" xr6:coauthVersionLast="47" xr6:coauthVersionMax="47" xr10:uidLastSave="{00000000-0000-0000-0000-000000000000}"/>
  <bookViews>
    <workbookView xWindow="-120" yWindow="-120" windowWidth="29040" windowHeight="15720" activeTab="1" xr2:uid="{FDA197D2-EA43-4E90-B3F9-BB5D62EF6B45}"/>
  </bookViews>
  <sheets>
    <sheet name="Nullarbor Easter2026" sheetId="3" r:id="rId1"/>
    <sheet name="Great Northern Ru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4" l="1"/>
  <c r="G28" i="4"/>
  <c r="F28" i="4"/>
  <c r="D28" i="4"/>
  <c r="C28" i="4"/>
  <c r="G25" i="4"/>
  <c r="G26" i="4"/>
  <c r="G24" i="4"/>
  <c r="G23" i="4"/>
  <c r="G22" i="4"/>
  <c r="G21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G18" i="4"/>
  <c r="G19" i="4"/>
  <c r="G20" i="4"/>
  <c r="H19" i="4"/>
  <c r="I19" i="4"/>
  <c r="H18" i="4"/>
  <c r="I18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0" i="4"/>
  <c r="H10" i="4"/>
  <c r="I10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I2" i="4"/>
  <c r="H2" i="4"/>
  <c r="G3" i="4"/>
  <c r="G4" i="4"/>
  <c r="G5" i="4"/>
  <c r="G6" i="4"/>
  <c r="G7" i="4"/>
  <c r="G8" i="4"/>
  <c r="G9" i="4"/>
  <c r="G2" i="4"/>
  <c r="I2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" i="3"/>
  <c r="G19" i="3"/>
  <c r="G20" i="3"/>
  <c r="G21" i="3"/>
  <c r="G22" i="3"/>
  <c r="G23" i="3"/>
  <c r="G24" i="3"/>
  <c r="G25" i="3"/>
  <c r="G26" i="3"/>
  <c r="G1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" i="3"/>
  <c r="F27" i="3"/>
  <c r="D27" i="3"/>
  <c r="C27" i="3"/>
  <c r="I28" i="4" l="1"/>
  <c r="H28" i="4"/>
  <c r="G27" i="3"/>
  <c r="H27" i="3"/>
</calcChain>
</file>

<file path=xl/sharedStrings.xml><?xml version="1.0" encoding="utf-8"?>
<sst xmlns="http://schemas.openxmlformats.org/spreadsheetml/2006/main" count="118" uniqueCount="84">
  <si>
    <t>Headwind</t>
  </si>
  <si>
    <t>No Wind</t>
  </si>
  <si>
    <t>Sidewind</t>
  </si>
  <si>
    <t>BP Norseman</t>
  </si>
  <si>
    <t>BP Balladonia</t>
  </si>
  <si>
    <t>Golden Outback</t>
  </si>
  <si>
    <t>$/L</t>
  </si>
  <si>
    <t>From / To</t>
  </si>
  <si>
    <t>Distance (km)</t>
  </si>
  <si>
    <t>Liters</t>
  </si>
  <si>
    <t>Fuel Stop</t>
  </si>
  <si>
    <t>Cost ($)</t>
  </si>
  <si>
    <t>L/100km</t>
  </si>
  <si>
    <t>Conditions</t>
  </si>
  <si>
    <t>Salmon Gums RH</t>
  </si>
  <si>
    <t>Windy</t>
  </si>
  <si>
    <t>Salmon Gums → Norseman</t>
  </si>
  <si>
    <t>Balladonia → Caiguna</t>
  </si>
  <si>
    <t>Caiguna → Cocklebiddy</t>
  </si>
  <si>
    <t>Cocklebiddy → Madura</t>
  </si>
  <si>
    <t>Madura → Mundrabilla</t>
  </si>
  <si>
    <t>Mundrabilla RH</t>
  </si>
  <si>
    <t>Mundrabilla → Eucla</t>
  </si>
  <si>
    <t>Motel PAYG</t>
  </si>
  <si>
    <t>Nullarbor RH</t>
  </si>
  <si>
    <t>Yalata PAYG</t>
  </si>
  <si>
    <t>Yalata → Nundroo</t>
  </si>
  <si>
    <t>Nundroo RH</t>
  </si>
  <si>
    <t>Nundroo → Penong</t>
  </si>
  <si>
    <t>Ampol</t>
  </si>
  <si>
    <t>Storm Headwinds</t>
  </si>
  <si>
    <t>Penong → Ceduna</t>
  </si>
  <si>
    <t>OTR Ceduna</t>
  </si>
  <si>
    <t>Wet / Slow</t>
  </si>
  <si>
    <t>Ceduna → Denial Bay Return</t>
  </si>
  <si>
    <t>No towing</t>
  </si>
  <si>
    <t>Penong → Fowlers Bay-BUSH→ Nundroo</t>
  </si>
  <si>
    <t>Nundroo → Nullarbor Roadhouse</t>
  </si>
  <si>
    <t>Eucla → Nullarbor Roadhouse</t>
  </si>
  <si>
    <t>Nullarbor Roadhouse → Yalata</t>
  </si>
  <si>
    <t>Nullarbor Roadhouse → Border Village</t>
  </si>
  <si>
    <t>Border Village → Mundrabilla</t>
  </si>
  <si>
    <t>Balladonia → Norseman</t>
  </si>
  <si>
    <t>Norseman → Esperance</t>
  </si>
  <si>
    <t>Jerry Cans</t>
  </si>
  <si>
    <t>Ceduna → Lake Mcdonnel → Penong</t>
  </si>
  <si>
    <t>Tailwind</t>
  </si>
  <si>
    <t>Caltex Ceduna</t>
  </si>
  <si>
    <t>Ceduna → Streaky Bay Return</t>
  </si>
  <si>
    <t>Border Village Roadhouse</t>
  </si>
  <si>
    <t>Cocklebiddy →  Balladonia</t>
  </si>
  <si>
    <t>Caltex Castletown</t>
  </si>
  <si>
    <t>Heavy Rain and Headwind</t>
  </si>
  <si>
    <t>Esperance (and town) → Salmon Gums</t>
  </si>
  <si>
    <t>Norseman → Fraser Range → Balladonia</t>
  </si>
  <si>
    <t>Mundrabilla → Madura * MADURA PASS*-</t>
  </si>
  <si>
    <t>Madura * MADURA PASS*→ Cocklebiddy-Refilled Jerry Cans</t>
  </si>
  <si>
    <t>km/L</t>
  </si>
  <si>
    <t>Esperance → Norseman</t>
  </si>
  <si>
    <t>Norseman → Kalgoorlie-Boulder</t>
  </si>
  <si>
    <t>Kalgoorlie-Boulder → Leonora</t>
  </si>
  <si>
    <t>Leonora  → Wiluna</t>
  </si>
  <si>
    <t>Wiluna  → Meekatharra</t>
  </si>
  <si>
    <t>Capricorn  → AUSKI</t>
  </si>
  <si>
    <t>AUSKI  → Port Hedland</t>
  </si>
  <si>
    <t>Port Hedland  → Pardoo Roadhouse</t>
  </si>
  <si>
    <t>Pardoo Roadhouse  → Cape K?</t>
  </si>
  <si>
    <t>Pardoo Roadhouse  → Cape K?  → 80mile beach</t>
  </si>
  <si>
    <t>Pardoo Roadhouse  → Marble Bar</t>
  </si>
  <si>
    <t>Marble Bar  → Marble Bar</t>
  </si>
  <si>
    <t>Marble Bar  → Carawina George  → Marble Bar</t>
  </si>
  <si>
    <t>Marble Bar  → Marble Bar  → Port hedland</t>
  </si>
  <si>
    <t xml:space="preserve">Roadhouse? </t>
  </si>
  <si>
    <t>Tom Price</t>
  </si>
  <si>
    <t>Tom Price  → Tom Price</t>
  </si>
  <si>
    <t>Tom Price  → Capricorn</t>
  </si>
  <si>
    <t>Capricorn  → Kumarina</t>
  </si>
  <si>
    <t>Kumarina  → Meekatharra</t>
  </si>
  <si>
    <t>Meekatharra  → Wiluna</t>
  </si>
  <si>
    <t>Wiluna  → Leonora</t>
  </si>
  <si>
    <t>Leonora  → Kalgoorlie-Boulder</t>
  </si>
  <si>
    <t>Kalgoorlie-Boulder  →Norseman</t>
  </si>
  <si>
    <t>Meekatharra  → Kumarina</t>
  </si>
  <si>
    <t>Kumarina  → Capricorn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</si>
</sst>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&quot;$&quot;#,##0.00"/>
    <numFmt numFmtId="165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3" borderId="1" xfId="0" applyNumberForma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8" fontId="0" fillId="0" borderId="1" xfId="0" applyNumberFormat="1" applyBorder="1"/>
    <xf numFmtId="0" fontId="0" fillId="0" borderId="1" xfId="0" applyBorder="1"/>
    <xf numFmtId="0" fontId="0" fillId="2" borderId="1" xfId="0" applyFill="1" applyBorder="1" applyAlignment="1">
      <alignment vertical="center" wrapText="1"/>
    </xf>
    <xf numFmtId="164" fontId="0" fillId="0" borderId="1" xfId="0" applyNumberFormat="1" applyBorder="1"/>
    <xf numFmtId="0" fontId="0" fillId="5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4" fontId="0" fillId="0" borderId="2" xfId="0" applyNumberFormat="1" applyBorder="1"/>
    <xf numFmtId="2" fontId="0" fillId="0" borderId="2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64" fontId="0" fillId="4" borderId="3" xfId="0" applyNumberFormat="1" applyFill="1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165" fontId="0" fillId="3" borderId="3" xfId="0" applyNumberForma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165" fontId="0" fillId="3" borderId="2" xfId="0" applyNumberFormat="1" applyFill="1" applyBorder="1" applyAlignment="1">
      <alignment vertical="center" wrapText="1"/>
    </xf>
    <xf numFmtId="0" fontId="0" fillId="0" borderId="2" xfId="0" applyBorder="1"/>
    <xf numFmtId="0" fontId="0" fillId="0" borderId="12" xfId="0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164" fontId="0" fillId="2" borderId="5" xfId="0" applyNumberFormat="1" applyFill="1" applyBorder="1" applyAlignment="1">
      <alignment vertical="center" wrapText="1"/>
    </xf>
    <xf numFmtId="164" fontId="0" fillId="2" borderId="5" xfId="0" applyNumberFormat="1" applyFill="1" applyBorder="1"/>
    <xf numFmtId="2" fontId="0" fillId="2" borderId="5" xfId="0" applyNumberFormat="1" applyFill="1" applyBorder="1" applyAlignment="1">
      <alignment vertical="center" wrapText="1"/>
    </xf>
    <xf numFmtId="0" fontId="0" fillId="2" borderId="6" xfId="0" applyFill="1" applyBorder="1"/>
    <xf numFmtId="0" fontId="0" fillId="0" borderId="1" xfId="0" applyFill="1" applyBorder="1"/>
    <xf numFmtId="164" fontId="0" fillId="0" borderId="1" xfId="0" applyNumberFormat="1" applyFill="1" applyBorder="1"/>
    <xf numFmtId="2" fontId="0" fillId="0" borderId="1" xfId="0" applyNumberFormat="1" applyFill="1" applyBorder="1" applyAlignment="1">
      <alignment vertical="center" wrapText="1"/>
    </xf>
    <xf numFmtId="164" fontId="0" fillId="0" borderId="2" xfId="0" applyNumberFormat="1" applyFill="1" applyBorder="1"/>
    <xf numFmtId="2" fontId="0" fillId="0" borderId="2" xfId="0" applyNumberFormat="1" applyFill="1" applyBorder="1" applyAlignment="1">
      <alignment vertical="center" wrapText="1"/>
    </xf>
    <xf numFmtId="0" fontId="0" fillId="2" borderId="4" xfId="0" applyFill="1" applyBorder="1"/>
    <xf numFmtId="4" fontId="0" fillId="2" borderId="5" xfId="0" applyNumberFormat="1" applyFill="1" applyBorder="1"/>
    <xf numFmtId="0" fontId="0" fillId="0" borderId="3" xfId="0" applyBorder="1"/>
    <xf numFmtId="164" fontId="0" fillId="0" borderId="3" xfId="0" applyNumberFormat="1" applyBorder="1"/>
    <xf numFmtId="0" fontId="0" fillId="0" borderId="10" xfId="0" applyBorder="1"/>
    <xf numFmtId="0" fontId="0" fillId="0" borderId="8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3E07-1AE6-430F-AE1E-7592F4F285DD}">
  <dimension ref="A1:J27"/>
  <sheetViews>
    <sheetView workbookViewId="0">
      <selection activeCell="H20" sqref="H20:I20"/>
    </sheetView>
  </sheetViews>
  <sheetFormatPr defaultRowHeight="15" x14ac:dyDescent="0.25"/>
  <cols>
    <col min="1" max="1" width="65" customWidth="1"/>
    <col min="2" max="2" width="21.5703125" customWidth="1"/>
    <col min="3" max="3" width="13.7109375" bestFit="1" customWidth="1"/>
    <col min="4" max="4" width="6.5703125" bestFit="1" customWidth="1"/>
    <col min="5" max="5" width="27.42578125" customWidth="1"/>
    <col min="6" max="6" width="7.7109375" customWidth="1"/>
    <col min="7" max="7" width="11.42578125" customWidth="1"/>
    <col min="8" max="8" width="8.42578125" bestFit="1" customWidth="1"/>
    <col min="9" max="9" width="5.42578125" bestFit="1" customWidth="1"/>
    <col min="10" max="10" width="24.42578125" customWidth="1"/>
  </cols>
  <sheetData>
    <row r="1" spans="1:10" ht="15.75" thickBot="1" x14ac:dyDescent="0.3">
      <c r="A1" s="18" t="s">
        <v>7</v>
      </c>
      <c r="B1" s="19"/>
      <c r="C1" s="19" t="s">
        <v>8</v>
      </c>
      <c r="D1" s="19" t="s">
        <v>9</v>
      </c>
      <c r="E1" s="19" t="s">
        <v>10</v>
      </c>
      <c r="F1" s="19" t="s">
        <v>6</v>
      </c>
      <c r="G1" s="19" t="s">
        <v>11</v>
      </c>
      <c r="H1" s="19" t="s">
        <v>12</v>
      </c>
      <c r="I1" s="19" t="s">
        <v>57</v>
      </c>
      <c r="J1" s="20" t="s">
        <v>13</v>
      </c>
    </row>
    <row r="2" spans="1:10" x14ac:dyDescent="0.25">
      <c r="A2" s="23" t="s">
        <v>53</v>
      </c>
      <c r="B2" s="24">
        <v>46114</v>
      </c>
      <c r="C2" s="15">
        <v>157</v>
      </c>
      <c r="D2" s="15">
        <v>24.98</v>
      </c>
      <c r="E2" s="15" t="s">
        <v>14</v>
      </c>
      <c r="F2" s="16">
        <v>3.65</v>
      </c>
      <c r="G2" s="16">
        <v>91.24</v>
      </c>
      <c r="H2" s="17">
        <f>(D2/C2)*100</f>
        <v>15.910828025477707</v>
      </c>
      <c r="I2" s="17">
        <f>C2/D2</f>
        <v>6.2850280224179347</v>
      </c>
      <c r="J2" s="25" t="s">
        <v>15</v>
      </c>
    </row>
    <row r="3" spans="1:10" x14ac:dyDescent="0.25">
      <c r="A3" s="21" t="s">
        <v>16</v>
      </c>
      <c r="B3" s="3">
        <v>46115</v>
      </c>
      <c r="C3" s="1">
        <v>99</v>
      </c>
      <c r="D3" s="1">
        <v>19.53</v>
      </c>
      <c r="E3" s="1" t="s">
        <v>3</v>
      </c>
      <c r="F3" s="2">
        <v>3.39</v>
      </c>
      <c r="G3" s="2">
        <v>66.209999999999994</v>
      </c>
      <c r="H3" s="4">
        <f t="shared" ref="H3:H26" si="0">(D3/C3)*100</f>
        <v>19.72727272727273</v>
      </c>
      <c r="I3" s="4">
        <f t="shared" ref="I3:I26" si="1">C3/D3</f>
        <v>5.0691244239631335</v>
      </c>
      <c r="J3" s="22" t="s">
        <v>0</v>
      </c>
    </row>
    <row r="4" spans="1:10" x14ac:dyDescent="0.25">
      <c r="A4" s="21" t="s">
        <v>54</v>
      </c>
      <c r="B4" s="3">
        <v>46116</v>
      </c>
      <c r="C4" s="1">
        <v>194</v>
      </c>
      <c r="D4" s="1">
        <v>35.28</v>
      </c>
      <c r="E4" s="1" t="s">
        <v>4</v>
      </c>
      <c r="F4" s="2">
        <v>3.64</v>
      </c>
      <c r="G4" s="2">
        <v>128.41999999999999</v>
      </c>
      <c r="H4" s="4">
        <f t="shared" si="0"/>
        <v>18.185567010309278</v>
      </c>
      <c r="I4" s="4">
        <f t="shared" si="1"/>
        <v>5.4988662131519277</v>
      </c>
      <c r="J4" s="22" t="s">
        <v>0</v>
      </c>
    </row>
    <row r="5" spans="1:10" x14ac:dyDescent="0.25">
      <c r="A5" s="21" t="s">
        <v>17</v>
      </c>
      <c r="B5" s="3">
        <v>46116</v>
      </c>
      <c r="C5" s="1">
        <v>177</v>
      </c>
      <c r="D5" s="1">
        <v>34.979999999999997</v>
      </c>
      <c r="E5" s="1" t="s">
        <v>5</v>
      </c>
      <c r="F5" s="2">
        <v>3.66</v>
      </c>
      <c r="G5" s="2">
        <v>127.99</v>
      </c>
      <c r="H5" s="4">
        <f t="shared" si="0"/>
        <v>19.762711864406779</v>
      </c>
      <c r="I5" s="4">
        <f t="shared" si="1"/>
        <v>5.0600343053173242</v>
      </c>
      <c r="J5" s="22" t="s">
        <v>0</v>
      </c>
    </row>
    <row r="6" spans="1:10" x14ac:dyDescent="0.25">
      <c r="A6" s="21" t="s">
        <v>18</v>
      </c>
      <c r="B6" s="3">
        <v>46116</v>
      </c>
      <c r="C6" s="1">
        <v>60</v>
      </c>
      <c r="D6" s="1">
        <v>12.53</v>
      </c>
      <c r="E6" s="1" t="s">
        <v>5</v>
      </c>
      <c r="F6" s="2">
        <v>3.67</v>
      </c>
      <c r="G6" s="2">
        <v>45.97</v>
      </c>
      <c r="H6" s="4">
        <f t="shared" si="0"/>
        <v>20.883333333333333</v>
      </c>
      <c r="I6" s="4">
        <f t="shared" si="1"/>
        <v>4.7885075818036711</v>
      </c>
      <c r="J6" s="22" t="s">
        <v>0</v>
      </c>
    </row>
    <row r="7" spans="1:10" x14ac:dyDescent="0.25">
      <c r="A7" s="21" t="s">
        <v>19</v>
      </c>
      <c r="B7" s="3">
        <v>46116</v>
      </c>
      <c r="C7" s="1">
        <v>92</v>
      </c>
      <c r="D7" s="1">
        <v>19.170000000000002</v>
      </c>
      <c r="E7" s="1" t="s">
        <v>5</v>
      </c>
      <c r="F7" s="2">
        <v>3.78</v>
      </c>
      <c r="G7" s="2">
        <v>72.45</v>
      </c>
      <c r="H7" s="4">
        <f t="shared" si="0"/>
        <v>20.836956521739133</v>
      </c>
      <c r="I7" s="4">
        <f t="shared" si="1"/>
        <v>4.7991653625456436</v>
      </c>
      <c r="J7" s="22" t="s">
        <v>0</v>
      </c>
    </row>
    <row r="8" spans="1:10" x14ac:dyDescent="0.25">
      <c r="A8" s="21" t="s">
        <v>20</v>
      </c>
      <c r="B8" s="3">
        <v>46117</v>
      </c>
      <c r="C8" s="1">
        <v>120</v>
      </c>
      <c r="D8" s="1">
        <v>23.48</v>
      </c>
      <c r="E8" s="1" t="s">
        <v>21</v>
      </c>
      <c r="F8" s="2">
        <v>3.59</v>
      </c>
      <c r="G8" s="2">
        <v>84.29</v>
      </c>
      <c r="H8" s="4">
        <f t="shared" si="0"/>
        <v>19.56666666666667</v>
      </c>
      <c r="I8" s="4">
        <f t="shared" si="1"/>
        <v>5.1107325383304936</v>
      </c>
      <c r="J8" s="22" t="s">
        <v>1</v>
      </c>
    </row>
    <row r="9" spans="1:10" x14ac:dyDescent="0.25">
      <c r="A9" s="21" t="s">
        <v>22</v>
      </c>
      <c r="B9" s="3">
        <v>46117</v>
      </c>
      <c r="C9" s="1">
        <v>64</v>
      </c>
      <c r="D9" s="1">
        <v>13.93</v>
      </c>
      <c r="E9" s="1" t="s">
        <v>23</v>
      </c>
      <c r="F9" s="2">
        <v>3.59</v>
      </c>
      <c r="G9" s="2">
        <v>50.01</v>
      </c>
      <c r="H9" s="4">
        <f t="shared" si="0"/>
        <v>21.765625</v>
      </c>
      <c r="I9" s="4">
        <f t="shared" si="1"/>
        <v>4.5944005743000718</v>
      </c>
      <c r="J9" s="22" t="s">
        <v>2</v>
      </c>
    </row>
    <row r="10" spans="1:10" x14ac:dyDescent="0.25">
      <c r="A10" s="21" t="s">
        <v>38</v>
      </c>
      <c r="B10" s="3">
        <v>46117</v>
      </c>
      <c r="C10" s="1">
        <v>203</v>
      </c>
      <c r="D10" s="1">
        <v>37.590000000000003</v>
      </c>
      <c r="E10" s="1" t="s">
        <v>24</v>
      </c>
      <c r="F10" s="2">
        <v>3.54</v>
      </c>
      <c r="G10" s="2">
        <v>133.07</v>
      </c>
      <c r="H10" s="4">
        <f t="shared" si="0"/>
        <v>18.517241379310345</v>
      </c>
      <c r="I10" s="4">
        <f t="shared" si="1"/>
        <v>5.4003724394785841</v>
      </c>
      <c r="J10" s="22" t="s">
        <v>1</v>
      </c>
    </row>
    <row r="11" spans="1:10" x14ac:dyDescent="0.25">
      <c r="A11" s="21" t="s">
        <v>39</v>
      </c>
      <c r="B11" s="3">
        <v>46117</v>
      </c>
      <c r="C11" s="1">
        <v>114</v>
      </c>
      <c r="D11" s="1">
        <v>20.350000000000001</v>
      </c>
      <c r="E11" s="1" t="s">
        <v>25</v>
      </c>
      <c r="F11" s="2">
        <v>3.39</v>
      </c>
      <c r="G11" s="2">
        <v>68.989999999999995</v>
      </c>
      <c r="H11" s="4">
        <f t="shared" si="0"/>
        <v>17.850877192982455</v>
      </c>
      <c r="I11" s="4">
        <f t="shared" si="1"/>
        <v>5.6019656019656017</v>
      </c>
      <c r="J11" s="22" t="s">
        <v>1</v>
      </c>
    </row>
    <row r="12" spans="1:10" x14ac:dyDescent="0.25">
      <c r="A12" s="21" t="s">
        <v>26</v>
      </c>
      <c r="B12" s="3">
        <v>46118</v>
      </c>
      <c r="C12" s="1">
        <v>52</v>
      </c>
      <c r="D12" s="1">
        <v>9.39</v>
      </c>
      <c r="E12" s="1" t="s">
        <v>27</v>
      </c>
      <c r="F12" s="2">
        <v>3.3</v>
      </c>
      <c r="G12" s="2">
        <v>30.98</v>
      </c>
      <c r="H12" s="4">
        <f t="shared" si="0"/>
        <v>18.057692307692307</v>
      </c>
      <c r="I12" s="4">
        <f t="shared" si="1"/>
        <v>5.5378061767838123</v>
      </c>
      <c r="J12" s="22" t="s">
        <v>1</v>
      </c>
    </row>
    <row r="13" spans="1:10" x14ac:dyDescent="0.25">
      <c r="A13" s="21" t="s">
        <v>28</v>
      </c>
      <c r="B13" s="3">
        <v>46119</v>
      </c>
      <c r="C13" s="1">
        <v>80</v>
      </c>
      <c r="D13" s="1">
        <v>16.21</v>
      </c>
      <c r="E13" s="1" t="s">
        <v>29</v>
      </c>
      <c r="F13" s="2">
        <v>3.23</v>
      </c>
      <c r="G13" s="2">
        <v>52.34</v>
      </c>
      <c r="H13" s="4">
        <f t="shared" si="0"/>
        <v>20.262499999999999</v>
      </c>
      <c r="I13" s="4">
        <f t="shared" si="1"/>
        <v>4.9352251696483647</v>
      </c>
      <c r="J13" s="22" t="s">
        <v>30</v>
      </c>
    </row>
    <row r="14" spans="1:10" x14ac:dyDescent="0.25">
      <c r="A14" s="21" t="s">
        <v>31</v>
      </c>
      <c r="B14" s="3">
        <v>46119</v>
      </c>
      <c r="C14" s="1">
        <v>72</v>
      </c>
      <c r="D14" s="1">
        <v>9.9700000000000006</v>
      </c>
      <c r="E14" s="1" t="s">
        <v>32</v>
      </c>
      <c r="F14" s="2">
        <v>3.18</v>
      </c>
      <c r="G14" s="2">
        <v>31.7</v>
      </c>
      <c r="H14" s="4">
        <f t="shared" si="0"/>
        <v>13.847222222222221</v>
      </c>
      <c r="I14" s="4">
        <f t="shared" si="1"/>
        <v>7.2216649949849545</v>
      </c>
      <c r="J14" s="22" t="s">
        <v>33</v>
      </c>
    </row>
    <row r="15" spans="1:10" x14ac:dyDescent="0.25">
      <c r="A15" s="21" t="s">
        <v>48</v>
      </c>
      <c r="B15" s="3">
        <v>46121</v>
      </c>
      <c r="C15" s="1">
        <v>116</v>
      </c>
      <c r="D15" s="1">
        <v>18.16</v>
      </c>
      <c r="E15" s="1" t="s">
        <v>47</v>
      </c>
      <c r="F15" s="2">
        <v>3.32</v>
      </c>
      <c r="G15" s="2">
        <v>60.27</v>
      </c>
      <c r="H15" s="4">
        <f t="shared" si="0"/>
        <v>15.655172413793103</v>
      </c>
      <c r="I15" s="4">
        <f t="shared" si="1"/>
        <v>6.3876651982378858</v>
      </c>
      <c r="J15" s="22" t="s">
        <v>35</v>
      </c>
    </row>
    <row r="16" spans="1:10" x14ac:dyDescent="0.25">
      <c r="A16" s="21" t="s">
        <v>34</v>
      </c>
      <c r="B16" s="3">
        <v>46124</v>
      </c>
      <c r="C16" s="1">
        <v>203</v>
      </c>
      <c r="D16" s="1">
        <v>29.79</v>
      </c>
      <c r="E16" s="1" t="s">
        <v>47</v>
      </c>
      <c r="F16" s="5">
        <v>3.3690000000000002</v>
      </c>
      <c r="G16" s="2">
        <v>100.37</v>
      </c>
      <c r="H16" s="4">
        <f t="shared" si="0"/>
        <v>14.674876847290641</v>
      </c>
      <c r="I16" s="4">
        <f t="shared" si="1"/>
        <v>6.8143672373279625</v>
      </c>
      <c r="J16" s="22" t="s">
        <v>35</v>
      </c>
    </row>
    <row r="17" spans="1:10" x14ac:dyDescent="0.25">
      <c r="A17" s="21" t="s">
        <v>45</v>
      </c>
      <c r="B17" s="3">
        <v>46125</v>
      </c>
      <c r="C17" s="1">
        <v>112.5</v>
      </c>
      <c r="D17" s="1">
        <v>18.14</v>
      </c>
      <c r="E17" s="1" t="s">
        <v>29</v>
      </c>
      <c r="F17" s="6">
        <v>3.3090000000000002</v>
      </c>
      <c r="G17" s="6">
        <v>62.03</v>
      </c>
      <c r="H17" s="4">
        <f t="shared" si="0"/>
        <v>16.124444444444443</v>
      </c>
      <c r="I17" s="4">
        <f t="shared" si="1"/>
        <v>6.2017640573318635</v>
      </c>
      <c r="J17" s="22" t="s">
        <v>46</v>
      </c>
    </row>
    <row r="18" spans="1:10" x14ac:dyDescent="0.25">
      <c r="A18" s="21" t="s">
        <v>36</v>
      </c>
      <c r="B18" s="3">
        <v>46128</v>
      </c>
      <c r="C18" s="1">
        <v>186.8</v>
      </c>
      <c r="D18" s="1">
        <v>26.38</v>
      </c>
      <c r="E18" s="1" t="s">
        <v>27</v>
      </c>
      <c r="F18" s="2">
        <v>3.2490000000000001</v>
      </c>
      <c r="G18" s="9">
        <f>D18*F18</f>
        <v>85.708619999999996</v>
      </c>
      <c r="H18" s="4">
        <f t="shared" si="0"/>
        <v>14.122055674518199</v>
      </c>
      <c r="I18" s="4">
        <f t="shared" si="1"/>
        <v>7.0811220621683102</v>
      </c>
      <c r="J18" s="22" t="s">
        <v>1</v>
      </c>
    </row>
    <row r="19" spans="1:10" x14ac:dyDescent="0.25">
      <c r="A19" s="21" t="s">
        <v>37</v>
      </c>
      <c r="B19" s="3">
        <v>46128</v>
      </c>
      <c r="C19" s="1">
        <v>144.6</v>
      </c>
      <c r="D19" s="1">
        <v>27.69</v>
      </c>
      <c r="E19" s="1" t="s">
        <v>24</v>
      </c>
      <c r="F19" s="2">
        <v>3.83</v>
      </c>
      <c r="G19" s="9">
        <f t="shared" ref="G19:G26" si="2">D19*F19</f>
        <v>106.0527</v>
      </c>
      <c r="H19" s="4">
        <f t="shared" si="0"/>
        <v>19.149377593360999</v>
      </c>
      <c r="I19" s="4">
        <f t="shared" si="1"/>
        <v>5.2221018418201508</v>
      </c>
      <c r="J19" s="22" t="s">
        <v>1</v>
      </c>
    </row>
    <row r="20" spans="1:10" x14ac:dyDescent="0.25">
      <c r="A20" s="21" t="s">
        <v>40</v>
      </c>
      <c r="B20" s="3">
        <v>46128</v>
      </c>
      <c r="C20" s="1">
        <v>185.3</v>
      </c>
      <c r="D20" s="1">
        <v>37.5</v>
      </c>
      <c r="E20" s="1" t="s">
        <v>49</v>
      </c>
      <c r="F20" s="2">
        <v>3.7</v>
      </c>
      <c r="G20" s="9">
        <f t="shared" si="2"/>
        <v>138.75</v>
      </c>
      <c r="H20" s="4">
        <f t="shared" si="0"/>
        <v>20.237452779276847</v>
      </c>
      <c r="I20" s="4">
        <f t="shared" si="1"/>
        <v>4.9413333333333336</v>
      </c>
      <c r="J20" s="22" t="s">
        <v>1</v>
      </c>
    </row>
    <row r="21" spans="1:10" x14ac:dyDescent="0.25">
      <c r="A21" s="21" t="s">
        <v>41</v>
      </c>
      <c r="B21" s="3">
        <v>46128</v>
      </c>
      <c r="C21" s="10">
        <v>77</v>
      </c>
      <c r="D21" s="10">
        <v>12</v>
      </c>
      <c r="E21" s="7"/>
      <c r="F21" s="2">
        <v>3.7</v>
      </c>
      <c r="G21" s="9">
        <f t="shared" si="2"/>
        <v>44.400000000000006</v>
      </c>
      <c r="H21" s="4">
        <f t="shared" si="0"/>
        <v>15.584415584415584</v>
      </c>
      <c r="I21" s="4">
        <f t="shared" si="1"/>
        <v>6.416666666666667</v>
      </c>
      <c r="J21" s="22" t="s">
        <v>1</v>
      </c>
    </row>
    <row r="22" spans="1:10" x14ac:dyDescent="0.25">
      <c r="A22" s="21" t="s">
        <v>55</v>
      </c>
      <c r="B22" s="3">
        <v>46128</v>
      </c>
      <c r="C22" s="8">
        <v>120</v>
      </c>
      <c r="D22" s="7">
        <v>40</v>
      </c>
      <c r="E22" s="7" t="s">
        <v>44</v>
      </c>
      <c r="F22" s="6">
        <v>3</v>
      </c>
      <c r="G22" s="9">
        <f t="shared" si="2"/>
        <v>120</v>
      </c>
      <c r="H22" s="4">
        <f t="shared" si="0"/>
        <v>33.333333333333329</v>
      </c>
      <c r="I22" s="4">
        <f t="shared" si="1"/>
        <v>3</v>
      </c>
      <c r="J22" s="22" t="s">
        <v>1</v>
      </c>
    </row>
    <row r="23" spans="1:10" x14ac:dyDescent="0.25">
      <c r="A23" s="21" t="s">
        <v>56</v>
      </c>
      <c r="B23" s="3">
        <v>46129</v>
      </c>
      <c r="C23" s="10">
        <v>91</v>
      </c>
      <c r="D23" s="10">
        <v>13</v>
      </c>
      <c r="E23" s="1" t="s">
        <v>5</v>
      </c>
      <c r="F23" s="2">
        <v>3.6690999999999998</v>
      </c>
      <c r="G23" s="9">
        <f t="shared" si="2"/>
        <v>47.698299999999996</v>
      </c>
      <c r="H23" s="4">
        <f t="shared" si="0"/>
        <v>14.285714285714285</v>
      </c>
      <c r="I23" s="4">
        <f t="shared" si="1"/>
        <v>7</v>
      </c>
      <c r="J23" s="22" t="s">
        <v>1</v>
      </c>
    </row>
    <row r="24" spans="1:10" x14ac:dyDescent="0.25">
      <c r="A24" s="21" t="s">
        <v>50</v>
      </c>
      <c r="B24" s="3">
        <v>46129</v>
      </c>
      <c r="C24" s="1">
        <v>204</v>
      </c>
      <c r="D24" s="1">
        <v>40.21</v>
      </c>
      <c r="E24" s="1" t="s">
        <v>4</v>
      </c>
      <c r="F24" s="2">
        <v>3.5510000000000002</v>
      </c>
      <c r="G24" s="9">
        <f t="shared" si="2"/>
        <v>142.78571000000002</v>
      </c>
      <c r="H24" s="4">
        <f t="shared" si="0"/>
        <v>19.71078431372549</v>
      </c>
      <c r="I24" s="4">
        <f t="shared" si="1"/>
        <v>5.0733648346182543</v>
      </c>
      <c r="J24" s="22" t="s">
        <v>1</v>
      </c>
    </row>
    <row r="25" spans="1:10" x14ac:dyDescent="0.25">
      <c r="A25" s="21" t="s">
        <v>42</v>
      </c>
      <c r="B25" s="3">
        <v>46129</v>
      </c>
      <c r="C25" s="1">
        <v>194</v>
      </c>
      <c r="D25" s="1">
        <v>35</v>
      </c>
      <c r="E25" s="1" t="s">
        <v>3</v>
      </c>
      <c r="F25" s="2">
        <v>3.45</v>
      </c>
      <c r="G25" s="9">
        <f t="shared" si="2"/>
        <v>120.75</v>
      </c>
      <c r="H25" s="4">
        <f t="shared" si="0"/>
        <v>18.041237113402062</v>
      </c>
      <c r="I25" s="4">
        <f t="shared" si="1"/>
        <v>5.5428571428571427</v>
      </c>
      <c r="J25" s="22" t="s">
        <v>1</v>
      </c>
    </row>
    <row r="26" spans="1:10" ht="15.75" thickBot="1" x14ac:dyDescent="0.3">
      <c r="A26" s="26" t="s">
        <v>43</v>
      </c>
      <c r="B26" s="27">
        <v>46130</v>
      </c>
      <c r="C26" s="28">
        <v>204</v>
      </c>
      <c r="D26" s="11">
        <v>37.409999999999997</v>
      </c>
      <c r="E26" s="11" t="s">
        <v>51</v>
      </c>
      <c r="F26" s="12">
        <v>3.109</v>
      </c>
      <c r="G26" s="13">
        <f t="shared" si="2"/>
        <v>116.30768999999999</v>
      </c>
      <c r="H26" s="14">
        <f t="shared" si="0"/>
        <v>18.338235294117645</v>
      </c>
      <c r="I26" s="14">
        <f t="shared" si="1"/>
        <v>5.4530874097834809</v>
      </c>
      <c r="J26" s="29" t="s">
        <v>52</v>
      </c>
    </row>
    <row r="27" spans="1:10" ht="15.75" thickBot="1" x14ac:dyDescent="0.3">
      <c r="A27" s="30"/>
      <c r="B27" s="31"/>
      <c r="C27" s="32">
        <f>SUM(C2:C26)</f>
        <v>3322.2000000000003</v>
      </c>
      <c r="D27" s="32">
        <f>SUM(D2:D26)</f>
        <v>612.67000000000007</v>
      </c>
      <c r="E27" s="32"/>
      <c r="F27" s="33">
        <f>AVERAGE(F2:F26)</f>
        <v>3.4746439999999996</v>
      </c>
      <c r="G27" s="34">
        <f>SUM(G2:G26)</f>
        <v>2128.7830200000003</v>
      </c>
      <c r="H27" s="35">
        <f>AVERAGE(H2:H26)</f>
        <v>18.577263757152224</v>
      </c>
      <c r="I27" s="35">
        <f>AVERAGE(I2:I26)</f>
        <v>5.5614889275534622</v>
      </c>
      <c r="J2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0B50-A3DD-492D-A6F7-372A3C297503}">
  <dimension ref="A1:J28"/>
  <sheetViews>
    <sheetView tabSelected="1" workbookViewId="0">
      <selection activeCell="G26" sqref="G26:G27"/>
    </sheetView>
  </sheetViews>
  <sheetFormatPr defaultRowHeight="15" x14ac:dyDescent="0.25"/>
  <cols>
    <col min="1" max="1" width="50.140625" customWidth="1"/>
    <col min="10" max="10" width="15.7109375" customWidth="1"/>
  </cols>
  <sheetData>
    <row r="1" spans="1:10" ht="30.75" thickBot="1" x14ac:dyDescent="0.3">
      <c r="A1" s="18" t="s">
        <v>7</v>
      </c>
      <c r="B1" s="19"/>
      <c r="C1" s="19" t="s">
        <v>8</v>
      </c>
      <c r="D1" s="19" t="s">
        <v>9</v>
      </c>
      <c r="E1" s="19" t="s">
        <v>10</v>
      </c>
      <c r="F1" s="19" t="s">
        <v>6</v>
      </c>
      <c r="G1" s="19" t="s">
        <v>11</v>
      </c>
      <c r="H1" s="19" t="s">
        <v>12</v>
      </c>
      <c r="I1" s="19" t="s">
        <v>57</v>
      </c>
      <c r="J1" s="20" t="s">
        <v>13</v>
      </c>
    </row>
    <row r="2" spans="1:10" x14ac:dyDescent="0.25">
      <c r="A2" s="23" t="s">
        <v>58</v>
      </c>
      <c r="B2" s="44"/>
      <c r="C2" s="44">
        <v>211.1</v>
      </c>
      <c r="D2" s="44">
        <v>41.52</v>
      </c>
      <c r="E2" s="44"/>
      <c r="F2" s="45">
        <v>2.165</v>
      </c>
      <c r="G2" s="45">
        <f>D2*F2</f>
        <v>89.890800000000013</v>
      </c>
      <c r="H2" s="17">
        <f t="shared" ref="H2" si="0">(D2/C2)*100</f>
        <v>19.668403600189485</v>
      </c>
      <c r="I2" s="17">
        <f t="shared" ref="I2" si="1">C2/D2</f>
        <v>5.0842967244701347</v>
      </c>
      <c r="J2" s="46"/>
    </row>
    <row r="3" spans="1:10" x14ac:dyDescent="0.25">
      <c r="A3" s="21" t="s">
        <v>59</v>
      </c>
      <c r="B3" s="7"/>
      <c r="C3" s="7">
        <v>174.9</v>
      </c>
      <c r="D3" s="7">
        <v>30.71</v>
      </c>
      <c r="E3" s="7"/>
      <c r="F3" s="9">
        <v>1.929</v>
      </c>
      <c r="G3" s="9">
        <f t="shared" ref="G3:G10" si="2">D3*F3</f>
        <v>59.23959</v>
      </c>
      <c r="H3" s="4">
        <f t="shared" ref="H3:H10" si="3">(D3/C3)*100</f>
        <v>17.558604917095483</v>
      </c>
      <c r="I3" s="4">
        <f t="shared" ref="I3:I10" si="4">C3/D3</f>
        <v>5.6952132855747317</v>
      </c>
      <c r="J3" s="47"/>
    </row>
    <row r="4" spans="1:10" x14ac:dyDescent="0.25">
      <c r="A4" s="21" t="s">
        <v>60</v>
      </c>
      <c r="B4" s="7"/>
      <c r="C4" s="7">
        <v>237.6</v>
      </c>
      <c r="D4" s="7">
        <v>41.43</v>
      </c>
      <c r="E4" s="7"/>
      <c r="F4" s="9">
        <v>2.2229999999999999</v>
      </c>
      <c r="G4" s="9">
        <f t="shared" si="2"/>
        <v>92.098889999999997</v>
      </c>
      <c r="H4" s="4">
        <f t="shared" si="3"/>
        <v>17.436868686868685</v>
      </c>
      <c r="I4" s="4">
        <f t="shared" si="4"/>
        <v>5.7349746560463428</v>
      </c>
      <c r="J4" s="47"/>
    </row>
    <row r="5" spans="1:10" x14ac:dyDescent="0.25">
      <c r="A5" s="21" t="s">
        <v>61</v>
      </c>
      <c r="B5" s="7"/>
      <c r="C5" s="7">
        <v>323.39999999999998</v>
      </c>
      <c r="D5" s="7">
        <v>54.19</v>
      </c>
      <c r="E5" s="7"/>
      <c r="F5" s="9">
        <v>2.2219000000000002</v>
      </c>
      <c r="G5" s="9">
        <f t="shared" si="2"/>
        <v>120.40476100000001</v>
      </c>
      <c r="H5" s="4">
        <f t="shared" si="3"/>
        <v>16.756338899196045</v>
      </c>
      <c r="I5" s="4">
        <f t="shared" si="4"/>
        <v>5.9678907547517994</v>
      </c>
      <c r="J5" s="47"/>
    </row>
    <row r="6" spans="1:10" x14ac:dyDescent="0.25">
      <c r="A6" s="21" t="s">
        <v>62</v>
      </c>
      <c r="B6" s="7"/>
      <c r="C6" s="7">
        <v>291.89999999999998</v>
      </c>
      <c r="D6" s="7">
        <v>45.56</v>
      </c>
      <c r="E6" s="7"/>
      <c r="F6" s="9">
        <v>2.149</v>
      </c>
      <c r="G6" s="9">
        <f t="shared" si="2"/>
        <v>97.908439999999999</v>
      </c>
      <c r="H6" s="4">
        <f t="shared" si="3"/>
        <v>15.608084960602946</v>
      </c>
      <c r="I6" s="4">
        <f t="shared" si="4"/>
        <v>6.4069359086918345</v>
      </c>
      <c r="J6" s="47"/>
    </row>
    <row r="7" spans="1:10" x14ac:dyDescent="0.25">
      <c r="A7" s="21" t="s">
        <v>82</v>
      </c>
      <c r="B7" s="7"/>
      <c r="C7" s="7">
        <v>253</v>
      </c>
      <c r="D7" s="7">
        <v>52.59</v>
      </c>
      <c r="E7" s="7"/>
      <c r="F7" s="9">
        <v>2.1560000000000001</v>
      </c>
      <c r="G7" s="9">
        <f t="shared" si="2"/>
        <v>113.38404000000001</v>
      </c>
      <c r="H7" s="4">
        <f t="shared" si="3"/>
        <v>20.786561264822137</v>
      </c>
      <c r="I7" s="4">
        <f t="shared" si="4"/>
        <v>4.810800532420612</v>
      </c>
      <c r="J7" s="47"/>
    </row>
    <row r="8" spans="1:10" x14ac:dyDescent="0.25">
      <c r="A8" s="21" t="s">
        <v>83</v>
      </c>
      <c r="B8" s="7"/>
      <c r="C8" s="7">
        <v>146</v>
      </c>
      <c r="D8" s="7">
        <v>27.39</v>
      </c>
      <c r="E8" s="7"/>
      <c r="F8" s="9">
        <v>2.0590000000000002</v>
      </c>
      <c r="G8" s="9">
        <f t="shared" si="2"/>
        <v>56.396010000000004</v>
      </c>
      <c r="H8" s="4">
        <f t="shared" si="3"/>
        <v>18.760273972602739</v>
      </c>
      <c r="I8" s="4">
        <f t="shared" si="4"/>
        <v>5.3304125593282219</v>
      </c>
      <c r="J8" s="47"/>
    </row>
    <row r="9" spans="1:10" x14ac:dyDescent="0.25">
      <c r="A9" s="21" t="s">
        <v>63</v>
      </c>
      <c r="B9" s="7"/>
      <c r="C9" s="7">
        <v>206</v>
      </c>
      <c r="D9" s="7">
        <v>35.67</v>
      </c>
      <c r="E9" s="7"/>
      <c r="F9" s="9">
        <v>2.0289999999999999</v>
      </c>
      <c r="G9" s="9">
        <f t="shared" si="2"/>
        <v>72.374430000000004</v>
      </c>
      <c r="H9" s="4">
        <f t="shared" si="3"/>
        <v>17.315533980582526</v>
      </c>
      <c r="I9" s="4">
        <f t="shared" si="4"/>
        <v>5.7751611998878607</v>
      </c>
      <c r="J9" s="47"/>
    </row>
    <row r="10" spans="1:10" x14ac:dyDescent="0.25">
      <c r="A10" s="21" t="s">
        <v>64</v>
      </c>
      <c r="B10" s="7"/>
      <c r="C10" s="37">
        <v>269.8</v>
      </c>
      <c r="D10" s="37">
        <v>45.11</v>
      </c>
      <c r="E10" s="7"/>
      <c r="F10" s="38">
        <v>1.9470000000000001</v>
      </c>
      <c r="G10" s="38">
        <f t="shared" si="2"/>
        <v>87.829170000000005</v>
      </c>
      <c r="H10" s="39">
        <f t="shared" si="3"/>
        <v>16.719792438843587</v>
      </c>
      <c r="I10" s="39">
        <f t="shared" si="4"/>
        <v>5.9809354910219463</v>
      </c>
      <c r="J10" s="47"/>
    </row>
    <row r="11" spans="1:10" x14ac:dyDescent="0.25">
      <c r="A11" s="21" t="s">
        <v>65</v>
      </c>
      <c r="B11" s="7"/>
      <c r="C11" s="37">
        <v>196.4</v>
      </c>
      <c r="D11" s="37">
        <v>42.9</v>
      </c>
      <c r="E11" s="7"/>
      <c r="F11" s="38">
        <v>2.29</v>
      </c>
      <c r="G11" s="38">
        <f t="shared" ref="G11:G24" si="5">D11*F11</f>
        <v>98.241</v>
      </c>
      <c r="H11" s="39">
        <f t="shared" ref="H11:H19" si="6">(D11/C11)*100</f>
        <v>21.843177189409367</v>
      </c>
      <c r="I11" s="39">
        <f t="shared" ref="I11:I19" si="7">C11/D11</f>
        <v>4.5780885780885781</v>
      </c>
      <c r="J11" s="47"/>
    </row>
    <row r="12" spans="1:10" x14ac:dyDescent="0.25">
      <c r="A12" s="21" t="s">
        <v>66</v>
      </c>
      <c r="B12" s="7"/>
      <c r="C12" s="37">
        <v>102.9</v>
      </c>
      <c r="D12" s="37">
        <v>20</v>
      </c>
      <c r="E12" s="7"/>
      <c r="F12" s="38">
        <v>2.2999999999999998</v>
      </c>
      <c r="G12" s="38">
        <f t="shared" si="5"/>
        <v>46</v>
      </c>
      <c r="H12" s="39">
        <f t="shared" si="6"/>
        <v>19.436345966958211</v>
      </c>
      <c r="I12" s="39">
        <f t="shared" si="7"/>
        <v>5.1450000000000005</v>
      </c>
      <c r="J12" s="47"/>
    </row>
    <row r="13" spans="1:10" x14ac:dyDescent="0.25">
      <c r="A13" s="21" t="s">
        <v>67</v>
      </c>
      <c r="B13" s="7"/>
      <c r="C13" s="37">
        <v>295.8</v>
      </c>
      <c r="D13" s="7">
        <v>65.84</v>
      </c>
      <c r="E13" s="7"/>
      <c r="F13" s="38">
        <v>2.29</v>
      </c>
      <c r="G13" s="38">
        <f t="shared" si="5"/>
        <v>150.77360000000002</v>
      </c>
      <c r="H13" s="39">
        <f t="shared" si="6"/>
        <v>22.258282623394184</v>
      </c>
      <c r="I13" s="39">
        <f t="shared" si="7"/>
        <v>4.4927095990279469</v>
      </c>
      <c r="J13" s="47"/>
    </row>
    <row r="14" spans="1:10" x14ac:dyDescent="0.25">
      <c r="A14" s="21" t="s">
        <v>68</v>
      </c>
      <c r="B14" s="7"/>
      <c r="C14" s="37">
        <v>356.6</v>
      </c>
      <c r="D14" s="7">
        <v>49.51</v>
      </c>
      <c r="E14" s="7"/>
      <c r="F14" s="38">
        <v>2.2599999999999998</v>
      </c>
      <c r="G14" s="38">
        <f t="shared" si="5"/>
        <v>111.89259999999999</v>
      </c>
      <c r="H14" s="39">
        <f t="shared" si="6"/>
        <v>13.883903533370724</v>
      </c>
      <c r="I14" s="39">
        <f t="shared" si="7"/>
        <v>7.2025853362956989</v>
      </c>
      <c r="J14" s="47"/>
    </row>
    <row r="15" spans="1:10" x14ac:dyDescent="0.25">
      <c r="A15" s="21" t="s">
        <v>70</v>
      </c>
      <c r="B15" s="7"/>
      <c r="C15" s="37">
        <v>424.6</v>
      </c>
      <c r="D15" s="7">
        <v>62.96</v>
      </c>
      <c r="E15" s="7"/>
      <c r="F15" s="38">
        <v>2.27</v>
      </c>
      <c r="G15" s="38">
        <f t="shared" si="5"/>
        <v>142.91919999999999</v>
      </c>
      <c r="H15" s="39">
        <f t="shared" si="6"/>
        <v>14.828073480923221</v>
      </c>
      <c r="I15" s="39">
        <f t="shared" si="7"/>
        <v>6.7439644218551464</v>
      </c>
      <c r="J15" s="47"/>
    </row>
    <row r="16" spans="1:10" x14ac:dyDescent="0.25">
      <c r="A16" s="21" t="s">
        <v>69</v>
      </c>
      <c r="B16" s="7"/>
      <c r="C16" s="37">
        <v>184</v>
      </c>
      <c r="D16" s="7">
        <v>25.17</v>
      </c>
      <c r="E16" s="7"/>
      <c r="F16" s="38">
        <v>2.2267000000000001</v>
      </c>
      <c r="G16" s="38">
        <f t="shared" si="5"/>
        <v>56.046039000000007</v>
      </c>
      <c r="H16" s="39">
        <f t="shared" si="6"/>
        <v>13.679347826086957</v>
      </c>
      <c r="I16" s="39">
        <f t="shared" si="7"/>
        <v>7.3102900278108853</v>
      </c>
      <c r="J16" s="47"/>
    </row>
    <row r="17" spans="1:10" x14ac:dyDescent="0.25">
      <c r="A17" s="21" t="s">
        <v>71</v>
      </c>
      <c r="B17" s="7"/>
      <c r="C17" s="37">
        <v>226</v>
      </c>
      <c r="D17" s="7">
        <v>39.24</v>
      </c>
      <c r="E17" s="7"/>
      <c r="F17" s="38">
        <v>2.0990000000000002</v>
      </c>
      <c r="G17" s="38">
        <f t="shared" si="5"/>
        <v>82.364760000000018</v>
      </c>
      <c r="H17" s="39">
        <f t="shared" si="6"/>
        <v>17.36283185840708</v>
      </c>
      <c r="I17" s="39">
        <f t="shared" si="7"/>
        <v>5.7594291539245663</v>
      </c>
      <c r="J17" s="47"/>
    </row>
    <row r="18" spans="1:10" x14ac:dyDescent="0.25">
      <c r="A18" s="21" t="s">
        <v>72</v>
      </c>
      <c r="B18" s="7"/>
      <c r="C18" s="37">
        <v>275</v>
      </c>
      <c r="D18" s="7">
        <v>55</v>
      </c>
      <c r="E18" s="7"/>
      <c r="F18" s="38">
        <v>2.0990000000000002</v>
      </c>
      <c r="G18" s="38">
        <f t="shared" si="5"/>
        <v>115.44500000000001</v>
      </c>
      <c r="H18" s="39">
        <f t="shared" si="6"/>
        <v>20</v>
      </c>
      <c r="I18" s="39">
        <f t="shared" si="7"/>
        <v>5</v>
      </c>
      <c r="J18" s="47"/>
    </row>
    <row r="19" spans="1:10" x14ac:dyDescent="0.25">
      <c r="A19" s="21" t="s">
        <v>73</v>
      </c>
      <c r="B19" s="7"/>
      <c r="C19" s="37">
        <v>362</v>
      </c>
      <c r="D19" s="7">
        <v>50.68</v>
      </c>
      <c r="E19" s="7"/>
      <c r="F19" s="38">
        <v>2.2248999999999999</v>
      </c>
      <c r="G19" s="38">
        <f t="shared" si="5"/>
        <v>112.757932</v>
      </c>
      <c r="H19" s="39">
        <f t="shared" si="6"/>
        <v>13.999999999999998</v>
      </c>
      <c r="I19" s="39">
        <f t="shared" si="7"/>
        <v>7.1428571428571432</v>
      </c>
      <c r="J19" s="47"/>
    </row>
    <row r="20" spans="1:10" x14ac:dyDescent="0.25">
      <c r="A20" s="21" t="s">
        <v>74</v>
      </c>
      <c r="B20" s="7"/>
      <c r="C20" s="37">
        <v>120</v>
      </c>
      <c r="D20" s="7">
        <v>17.8</v>
      </c>
      <c r="E20" s="7"/>
      <c r="F20" s="38">
        <v>2.2248999999999999</v>
      </c>
      <c r="G20" s="38">
        <f t="shared" si="5"/>
        <v>39.60322</v>
      </c>
      <c r="H20" s="39">
        <f t="shared" ref="H20:H27" si="8">(D20/C20)*100</f>
        <v>14.833333333333334</v>
      </c>
      <c r="I20" s="39">
        <f t="shared" ref="I20:I27" si="9">C20/D20</f>
        <v>6.7415730337078648</v>
      </c>
      <c r="J20" s="47"/>
    </row>
    <row r="21" spans="1:10" x14ac:dyDescent="0.25">
      <c r="A21" s="21" t="s">
        <v>75</v>
      </c>
      <c r="B21" s="7"/>
      <c r="C21" s="7">
        <v>346.1</v>
      </c>
      <c r="D21" s="7">
        <v>54.77</v>
      </c>
      <c r="E21" s="7"/>
      <c r="F21" s="38">
        <v>2.169</v>
      </c>
      <c r="G21" s="38">
        <f t="shared" si="5"/>
        <v>118.79613000000001</v>
      </c>
      <c r="H21" s="39">
        <f t="shared" si="8"/>
        <v>15.824906096503902</v>
      </c>
      <c r="I21" s="39">
        <f t="shared" si="9"/>
        <v>6.3191528208873473</v>
      </c>
      <c r="J21" s="47"/>
    </row>
    <row r="22" spans="1:10" x14ac:dyDescent="0.25">
      <c r="A22" s="21" t="s">
        <v>76</v>
      </c>
      <c r="B22" s="7"/>
      <c r="C22" s="7">
        <v>148</v>
      </c>
      <c r="D22" s="7">
        <v>26.85</v>
      </c>
      <c r="E22" s="7"/>
      <c r="F22" s="38">
        <v>2.2280000000000002</v>
      </c>
      <c r="G22" s="38">
        <f t="shared" si="5"/>
        <v>59.82180000000001</v>
      </c>
      <c r="H22" s="39">
        <f t="shared" si="8"/>
        <v>18.141891891891891</v>
      </c>
      <c r="I22" s="39">
        <f t="shared" si="9"/>
        <v>5.5121042830540032</v>
      </c>
      <c r="J22" s="47"/>
    </row>
    <row r="23" spans="1:10" x14ac:dyDescent="0.25">
      <c r="A23" s="21" t="s">
        <v>77</v>
      </c>
      <c r="B23" s="7"/>
      <c r="C23" s="7">
        <v>246</v>
      </c>
      <c r="D23" s="7">
        <v>49.57</v>
      </c>
      <c r="E23" s="7"/>
      <c r="F23" s="38">
        <v>2.2389999999999999</v>
      </c>
      <c r="G23" s="38">
        <f t="shared" si="5"/>
        <v>110.98723</v>
      </c>
      <c r="H23" s="39">
        <f t="shared" si="8"/>
        <v>20.150406504065042</v>
      </c>
      <c r="I23" s="39">
        <f t="shared" si="9"/>
        <v>4.9626790397417793</v>
      </c>
      <c r="J23" s="47"/>
    </row>
    <row r="24" spans="1:10" x14ac:dyDescent="0.25">
      <c r="A24" s="21" t="s">
        <v>78</v>
      </c>
      <c r="B24" s="7"/>
      <c r="C24" s="7">
        <v>180</v>
      </c>
      <c r="D24" s="7">
        <v>30.04</v>
      </c>
      <c r="E24" s="7"/>
      <c r="F24" s="38">
        <v>2.2389999999999999</v>
      </c>
      <c r="G24" s="38">
        <f t="shared" si="5"/>
        <v>67.259559999999993</v>
      </c>
      <c r="H24" s="39">
        <f t="shared" si="8"/>
        <v>16.68888888888889</v>
      </c>
      <c r="I24" s="39">
        <f t="shared" si="9"/>
        <v>5.9920106524633825</v>
      </c>
      <c r="J24" s="47"/>
    </row>
    <row r="25" spans="1:10" x14ac:dyDescent="0.25">
      <c r="A25" s="21" t="s">
        <v>79</v>
      </c>
      <c r="B25" s="7"/>
      <c r="C25" s="7">
        <v>316.10000000000002</v>
      </c>
      <c r="D25" s="7">
        <v>60.6</v>
      </c>
      <c r="E25" s="7"/>
      <c r="F25" s="38">
        <v>2.2389999999999999</v>
      </c>
      <c r="G25" s="38">
        <f t="shared" ref="G25:G27" si="10">D25*F25</f>
        <v>135.68340000000001</v>
      </c>
      <c r="H25" s="39">
        <f t="shared" si="8"/>
        <v>19.171148370768741</v>
      </c>
      <c r="I25" s="39">
        <f t="shared" si="9"/>
        <v>5.2161716171617165</v>
      </c>
      <c r="J25" s="47"/>
    </row>
    <row r="26" spans="1:10" x14ac:dyDescent="0.25">
      <c r="A26" s="21" t="s">
        <v>80</v>
      </c>
      <c r="B26" s="7"/>
      <c r="C26" s="7">
        <v>230</v>
      </c>
      <c r="D26" s="7">
        <v>42.7</v>
      </c>
      <c r="E26" s="7"/>
      <c r="F26" s="38">
        <v>2.2389999999999999</v>
      </c>
      <c r="G26" s="38">
        <f t="shared" si="10"/>
        <v>95.6053</v>
      </c>
      <c r="H26" s="39">
        <f t="shared" si="8"/>
        <v>18.565217391304348</v>
      </c>
      <c r="I26" s="39">
        <f t="shared" si="9"/>
        <v>5.3864168618266977</v>
      </c>
      <c r="J26" s="47"/>
    </row>
    <row r="27" spans="1:10" ht="15.75" thickBot="1" x14ac:dyDescent="0.3">
      <c r="A27" s="26" t="s">
        <v>81</v>
      </c>
      <c r="B27" s="28"/>
      <c r="C27" s="28">
        <v>186</v>
      </c>
      <c r="D27" s="28">
        <v>30</v>
      </c>
      <c r="E27" s="28"/>
      <c r="F27" s="40">
        <v>2.2389999999999999</v>
      </c>
      <c r="G27" s="38">
        <f t="shared" si="10"/>
        <v>67.17</v>
      </c>
      <c r="H27" s="41">
        <f t="shared" si="8"/>
        <v>16.129032258064516</v>
      </c>
      <c r="I27" s="41">
        <f t="shared" si="9"/>
        <v>6.2</v>
      </c>
      <c r="J27" s="48"/>
    </row>
    <row r="28" spans="1:10" ht="15.75" thickBot="1" x14ac:dyDescent="0.3">
      <c r="A28" s="42"/>
      <c r="B28" s="32"/>
      <c r="C28" s="32">
        <f>SUM(C2:C27)</f>
        <v>6309.2000000000007</v>
      </c>
      <c r="D28" s="32">
        <f>SUM(D2:D27)</f>
        <v>1097.8</v>
      </c>
      <c r="E28" s="32"/>
      <c r="F28" s="34">
        <f>AVERAGE(F2:F27)</f>
        <v>2.1828999999999992</v>
      </c>
      <c r="G28" s="34">
        <f>SUM(G1:G27)</f>
        <v>2400.892902</v>
      </c>
      <c r="H28" s="43">
        <f>AVERAGE(H2:H27)</f>
        <v>17.592586535929772</v>
      </c>
      <c r="I28" s="43">
        <f>AVERAGE(I2:I27)</f>
        <v>5.7881405261883154</v>
      </c>
      <c r="J28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Nullarbor Easter2026</vt:lpstr>
      <vt:lpstr>Great Northern 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Snyman</dc:creator>
  <cp:lastModifiedBy>Johannes Snyman</cp:lastModifiedBy>
  <dcterms:created xsi:type="dcterms:W3CDTF">2026-03-25T22:38:39Z</dcterms:created>
  <dcterms:modified xsi:type="dcterms:W3CDTF">2026-04-21T02:56:23Z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733d62-8159-44ea-9d80-caebebf1f217_Enabled">
    <vt:lpwstr>true</vt:lpwstr>
  </property>
  <property fmtid="{D5CDD505-2E9C-101B-9397-08002B2CF9AE}" pid="3" name="MSIP_Label_d7733d62-8159-44ea-9d80-caebebf1f217_SetDate">
    <vt:lpwstr>2026-04-20T22:17:28Z</vt:lpwstr>
  </property>
  <property fmtid="{D5CDD505-2E9C-101B-9397-08002B2CF9AE}" pid="4" name="MSIP_Label_d7733d62-8159-44ea-9d80-caebebf1f217_Method">
    <vt:lpwstr>Privileged</vt:lpwstr>
  </property>
  <property fmtid="{D5CDD505-2E9C-101B-9397-08002B2CF9AE}" pid="5" name="MSIP_Label_d7733d62-8159-44ea-9d80-caebebf1f217_Name">
    <vt:lpwstr>UNOFFICIAL</vt:lpwstr>
  </property>
  <property fmtid="{D5CDD505-2E9C-101B-9397-08002B2CF9AE}" pid="6" name="MSIP_Label_d7733d62-8159-44ea-9d80-caebebf1f217_SiteId">
    <vt:lpwstr>be3ca486-1cba-4aae-8181-c7165fb70b02</vt:lpwstr>
  </property>
  <property fmtid="{D5CDD505-2E9C-101B-9397-08002B2CF9AE}" pid="7" name="MSIP_Label_d7733d62-8159-44ea-9d80-caebebf1f217_ActionId">
    <vt:lpwstr>d82df4ae-2846-46f6-9bd7-689023daf16e</vt:lpwstr>
  </property>
  <property fmtid="{D5CDD505-2E9C-101B-9397-08002B2CF9AE}" pid="8" name="MSIP_Label_d7733d62-8159-44ea-9d80-caebebf1f217_ContentBits">
    <vt:lpwstr>0</vt:lpwstr>
  </property>
  <property fmtid="{D5CDD505-2E9C-101B-9397-08002B2CF9AE}" pid="9" name="MSIP_Label_d7733d62-8159-44ea-9d80-caebebf1f217_Tag">
    <vt:lpwstr>10, 0, 1, 1</vt:lpwstr>
  </property>
</Properties>
</file>